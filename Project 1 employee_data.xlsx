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7D30EFCF-254B-41BC-B7FF-15A2A6608E49}" xr6:coauthVersionLast="47" xr6:coauthVersionMax="47" xr10:uidLastSave="{00000000-0000-0000-0000-000000000000}"/>
  <bookViews>
    <workbookView xWindow="-120" yWindow="-120" windowWidth="20730" windowHeight="11160" firstSheet="1" activeTab="1" xr2:uid="{00000000-000D-0000-FFFF-FFFF00000000}"/>
  </bookViews>
  <sheets>
    <sheet name="Raw Data" sheetId="1" r:id="rId1"/>
    <sheet name="Cleaned Data" sheetId="2" r:id="rId2"/>
    <sheet name="Changelog" sheetId="3" r:id="rId3"/>
    <sheet name="Analysis" sheetId="4" r:id="rId4"/>
    <sheet name="Insights" sheetId="7" r:id="rId5"/>
    <sheet name="Charts" sheetId="9" r:id="rId6"/>
    <sheet name="Dashboard" sheetId="6" r:id="rId7"/>
    <sheet name="Findings and Recommendation" sheetId="11" r:id="rId8"/>
  </sheets>
  <definedNames>
    <definedName name="Slicer_Age_Group">#N/A</definedName>
    <definedName name="Slicer_Department">#N/A</definedName>
    <definedName name="Slicer_Is_Manager">#N/A</definedName>
    <definedName name="Slicer_Salary_Group">#N/A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3" i="9" l="1"/>
  <c r="B5" i="4"/>
  <c r="B4" i="4"/>
  <c r="B3" i="4"/>
  <c r="B2" i="4"/>
  <c r="J501" i="2" a="1"/>
  <c r="J501" i="2" s="1"/>
  <c r="I501" i="2" a="1"/>
  <c r="I501" i="2" s="1"/>
  <c r="J500" i="2" a="1"/>
  <c r="J500" i="2" s="1"/>
  <c r="I500" i="2" a="1"/>
  <c r="I500" i="2" s="1"/>
  <c r="J499" i="2" a="1"/>
  <c r="J499" i="2" s="1"/>
  <c r="I499" i="2" a="1"/>
  <c r="I499" i="2" s="1"/>
  <c r="J498" i="2" a="1"/>
  <c r="J498" i="2" s="1"/>
  <c r="I498" i="2" a="1"/>
  <c r="I498" i="2" s="1"/>
  <c r="J497" i="2" a="1"/>
  <c r="J497" i="2" s="1"/>
  <c r="I497" i="2" a="1"/>
  <c r="I497" i="2" s="1"/>
  <c r="J496" i="2" a="1"/>
  <c r="J496" i="2" s="1"/>
  <c r="I496" i="2"/>
  <c r="I496" i="2" a="1"/>
  <c r="J495" i="2"/>
  <c r="J495" i="2" a="1"/>
  <c r="I495" i="2" a="1"/>
  <c r="I495" i="2" s="1"/>
  <c r="J494" i="2" a="1"/>
  <c r="J494" i="2" s="1"/>
  <c r="I494" i="2" a="1"/>
  <c r="I494" i="2" s="1"/>
  <c r="J493" i="2"/>
  <c r="J493" i="2" a="1"/>
  <c r="I493" i="2" a="1"/>
  <c r="I493" i="2" s="1"/>
  <c r="J492" i="2" a="1"/>
  <c r="J492" i="2" s="1"/>
  <c r="I492" i="2" a="1"/>
  <c r="I492" i="2" s="1"/>
  <c r="J491" i="2" a="1"/>
  <c r="J491" i="2" s="1"/>
  <c r="I491" i="2" a="1"/>
  <c r="I491" i="2" s="1"/>
  <c r="J490" i="2" a="1"/>
  <c r="J490" i="2" s="1"/>
  <c r="I490" i="2"/>
  <c r="I490" i="2" a="1"/>
  <c r="J489" i="2" a="1"/>
  <c r="J489" i="2" s="1"/>
  <c r="I489" i="2" a="1"/>
  <c r="I489" i="2" s="1"/>
  <c r="J488" i="2" a="1"/>
  <c r="J488" i="2" s="1"/>
  <c r="I488" i="2"/>
  <c r="I488" i="2" a="1"/>
  <c r="J487" i="2" a="1"/>
  <c r="J487" i="2" s="1"/>
  <c r="I487" i="2" a="1"/>
  <c r="I487" i="2" s="1"/>
  <c r="J486" i="2" a="1"/>
  <c r="J486" i="2" s="1"/>
  <c r="I486" i="2" a="1"/>
  <c r="I486" i="2" s="1"/>
  <c r="J485" i="2"/>
  <c r="J485" i="2" a="1"/>
  <c r="I485" i="2" a="1"/>
  <c r="I485" i="2" s="1"/>
  <c r="J484" i="2" a="1"/>
  <c r="J484" i="2" s="1"/>
  <c r="I484" i="2" a="1"/>
  <c r="I484" i="2" s="1"/>
  <c r="J483" i="2" a="1"/>
  <c r="J483" i="2" s="1"/>
  <c r="I483" i="2" a="1"/>
  <c r="I483" i="2" s="1"/>
  <c r="J482" i="2" a="1"/>
  <c r="J482" i="2" s="1"/>
  <c r="I482" i="2"/>
  <c r="I482" i="2" a="1"/>
  <c r="J481" i="2" a="1"/>
  <c r="J481" i="2" s="1"/>
  <c r="I481" i="2" a="1"/>
  <c r="I481" i="2" s="1"/>
  <c r="J480" i="2" a="1"/>
  <c r="J480" i="2" s="1"/>
  <c r="I480" i="2" a="1"/>
  <c r="I480" i="2" s="1"/>
  <c r="J479" i="2" a="1"/>
  <c r="J479" i="2" s="1"/>
  <c r="I479" i="2" a="1"/>
  <c r="I479" i="2" s="1"/>
  <c r="J478" i="2" a="1"/>
  <c r="J478" i="2" s="1"/>
  <c r="I478" i="2" a="1"/>
  <c r="I478" i="2" s="1"/>
  <c r="J477" i="2"/>
  <c r="J477" i="2" a="1"/>
  <c r="I477" i="2" a="1"/>
  <c r="I477" i="2" s="1"/>
  <c r="J476" i="2" a="1"/>
  <c r="J476" i="2" s="1"/>
  <c r="I476" i="2" a="1"/>
  <c r="I476" i="2" s="1"/>
  <c r="J475" i="2" a="1"/>
  <c r="J475" i="2" s="1"/>
  <c r="I475" i="2" a="1"/>
  <c r="I475" i="2" s="1"/>
  <c r="J474" i="2" a="1"/>
  <c r="J474" i="2" s="1"/>
  <c r="I474" i="2"/>
  <c r="I474" i="2" a="1"/>
  <c r="J473" i="2" a="1"/>
  <c r="J473" i="2" s="1"/>
  <c r="I473" i="2" a="1"/>
  <c r="I473" i="2" s="1"/>
  <c r="J472" i="2" a="1"/>
  <c r="J472" i="2" s="1"/>
  <c r="I472" i="2" a="1"/>
  <c r="I472" i="2" s="1"/>
  <c r="J471" i="2" a="1"/>
  <c r="J471" i="2" s="1"/>
  <c r="I471" i="2" a="1"/>
  <c r="I471" i="2" s="1"/>
  <c r="J470" i="2" a="1"/>
  <c r="J470" i="2" s="1"/>
  <c r="I470" i="2" a="1"/>
  <c r="I470" i="2" s="1"/>
  <c r="J469" i="2"/>
  <c r="J469" i="2" a="1"/>
  <c r="I469" i="2" a="1"/>
  <c r="I469" i="2" s="1"/>
  <c r="J468" i="2" a="1"/>
  <c r="J468" i="2" s="1"/>
  <c r="I468" i="2" a="1"/>
  <c r="I468" i="2" s="1"/>
  <c r="J467" i="2" a="1"/>
  <c r="J467" i="2" s="1"/>
  <c r="I467" i="2" a="1"/>
  <c r="I467" i="2" s="1"/>
  <c r="J466" i="2" a="1"/>
  <c r="J466" i="2" s="1"/>
  <c r="I466" i="2"/>
  <c r="I466" i="2" a="1"/>
  <c r="J465" i="2" a="1"/>
  <c r="J465" i="2" s="1"/>
  <c r="I465" i="2" a="1"/>
  <c r="I465" i="2" s="1"/>
  <c r="J464" i="2" a="1"/>
  <c r="J464" i="2" s="1"/>
  <c r="I464" i="2" a="1"/>
  <c r="I464" i="2" s="1"/>
  <c r="J463" i="2" a="1"/>
  <c r="J463" i="2" s="1"/>
  <c r="I463" i="2" a="1"/>
  <c r="I463" i="2" s="1"/>
  <c r="J462" i="2" a="1"/>
  <c r="J462" i="2" s="1"/>
  <c r="I462" i="2" a="1"/>
  <c r="I462" i="2" s="1"/>
  <c r="J461" i="2"/>
  <c r="J461" i="2" a="1"/>
  <c r="I461" i="2" a="1"/>
  <c r="I461" i="2" s="1"/>
  <c r="J460" i="2" a="1"/>
  <c r="J460" i="2" s="1"/>
  <c r="I460" i="2" a="1"/>
  <c r="I460" i="2" s="1"/>
  <c r="J459" i="2" a="1"/>
  <c r="J459" i="2" s="1"/>
  <c r="I459" i="2" a="1"/>
  <c r="I459" i="2" s="1"/>
  <c r="J458" i="2" a="1"/>
  <c r="J458" i="2" s="1"/>
  <c r="I458" i="2"/>
  <c r="I458" i="2" a="1"/>
  <c r="J457" i="2" a="1"/>
  <c r="J457" i="2" s="1"/>
  <c r="I457" i="2" a="1"/>
  <c r="I457" i="2" s="1"/>
  <c r="J456" i="2" a="1"/>
  <c r="J456" i="2" s="1"/>
  <c r="I456" i="2" a="1"/>
  <c r="I456" i="2" s="1"/>
  <c r="J455" i="2" a="1"/>
  <c r="J455" i="2" s="1"/>
  <c r="I455" i="2" a="1"/>
  <c r="I455" i="2" s="1"/>
  <c r="J454" i="2" a="1"/>
  <c r="J454" i="2" s="1"/>
  <c r="I454" i="2" a="1"/>
  <c r="I454" i="2" s="1"/>
  <c r="J453" i="2"/>
  <c r="J453" i="2" a="1"/>
  <c r="I453" i="2" a="1"/>
  <c r="I453" i="2" s="1"/>
  <c r="J452" i="2" a="1"/>
  <c r="J452" i="2" s="1"/>
  <c r="I452" i="2" a="1"/>
  <c r="I452" i="2" s="1"/>
  <c r="J451" i="2" a="1"/>
  <c r="J451" i="2" s="1"/>
  <c r="I451" i="2" a="1"/>
  <c r="I451" i="2" s="1"/>
  <c r="J450" i="2" a="1"/>
  <c r="J450" i="2" s="1"/>
  <c r="I450" i="2"/>
  <c r="I450" i="2" a="1"/>
  <c r="J449" i="2" a="1"/>
  <c r="J449" i="2" s="1"/>
  <c r="I449" i="2" a="1"/>
  <c r="I449" i="2" s="1"/>
  <c r="J448" i="2" a="1"/>
  <c r="J448" i="2" s="1"/>
  <c r="I448" i="2" a="1"/>
  <c r="I448" i="2" s="1"/>
  <c r="J447" i="2" a="1"/>
  <c r="J447" i="2" s="1"/>
  <c r="I447" i="2" a="1"/>
  <c r="I447" i="2" s="1"/>
  <c r="J446" i="2" a="1"/>
  <c r="J446" i="2" s="1"/>
  <c r="I446" i="2" a="1"/>
  <c r="I446" i="2" s="1"/>
  <c r="J445" i="2"/>
  <c r="J445" i="2" a="1"/>
  <c r="I445" i="2" a="1"/>
  <c r="I445" i="2" s="1"/>
  <c r="J444" i="2" a="1"/>
  <c r="J444" i="2" s="1"/>
  <c r="I444" i="2" a="1"/>
  <c r="I444" i="2" s="1"/>
  <c r="J443" i="2" a="1"/>
  <c r="J443" i="2" s="1"/>
  <c r="I443" i="2" a="1"/>
  <c r="I443" i="2" s="1"/>
  <c r="J442" i="2" a="1"/>
  <c r="J442" i="2" s="1"/>
  <c r="I442" i="2"/>
  <c r="I442" i="2" a="1"/>
  <c r="J441" i="2" a="1"/>
  <c r="J441" i="2" s="1"/>
  <c r="I441" i="2" a="1"/>
  <c r="I441" i="2" s="1"/>
  <c r="J440" i="2" a="1"/>
  <c r="J440" i="2" s="1"/>
  <c r="I440" i="2" a="1"/>
  <c r="I440" i="2" s="1"/>
  <c r="J439" i="2" a="1"/>
  <c r="J439" i="2" s="1"/>
  <c r="I439" i="2" a="1"/>
  <c r="I439" i="2" s="1"/>
  <c r="J438" i="2" a="1"/>
  <c r="J438" i="2" s="1"/>
  <c r="I438" i="2" a="1"/>
  <c r="I438" i="2" s="1"/>
  <c r="J437" i="2"/>
  <c r="J437" i="2" a="1"/>
  <c r="I437" i="2" a="1"/>
  <c r="I437" i="2" s="1"/>
  <c r="J436" i="2" a="1"/>
  <c r="J436" i="2" s="1"/>
  <c r="I436" i="2" a="1"/>
  <c r="I436" i="2" s="1"/>
  <c r="J435" i="2" a="1"/>
  <c r="J435" i="2" s="1"/>
  <c r="I435" i="2" a="1"/>
  <c r="I435" i="2" s="1"/>
  <c r="J434" i="2" a="1"/>
  <c r="J434" i="2" s="1"/>
  <c r="I434" i="2"/>
  <c r="I434" i="2" a="1"/>
  <c r="J433" i="2" a="1"/>
  <c r="J433" i="2" s="1"/>
  <c r="I433" i="2" a="1"/>
  <c r="I433" i="2" s="1"/>
  <c r="J432" i="2" a="1"/>
  <c r="J432" i="2" s="1"/>
  <c r="I432" i="2" a="1"/>
  <c r="I432" i="2" s="1"/>
  <c r="J431" i="2" a="1"/>
  <c r="J431" i="2" s="1"/>
  <c r="I431" i="2" a="1"/>
  <c r="I431" i="2" s="1"/>
  <c r="J430" i="2" a="1"/>
  <c r="J430" i="2" s="1"/>
  <c r="I430" i="2" a="1"/>
  <c r="I430" i="2" s="1"/>
  <c r="J429" i="2"/>
  <c r="J429" i="2" a="1"/>
  <c r="I429" i="2" a="1"/>
  <c r="I429" i="2" s="1"/>
  <c r="J428" i="2" a="1"/>
  <c r="J428" i="2" s="1"/>
  <c r="I428" i="2" a="1"/>
  <c r="I428" i="2" s="1"/>
  <c r="J427" i="2" a="1"/>
  <c r="J427" i="2" s="1"/>
  <c r="I427" i="2" a="1"/>
  <c r="I427" i="2" s="1"/>
  <c r="J426" i="2" a="1"/>
  <c r="J426" i="2" s="1"/>
  <c r="I426" i="2"/>
  <c r="I426" i="2" a="1"/>
  <c r="J425" i="2" a="1"/>
  <c r="J425" i="2" s="1"/>
  <c r="I425" i="2" a="1"/>
  <c r="I425" i="2" s="1"/>
  <c r="J424" i="2" a="1"/>
  <c r="J424" i="2" s="1"/>
  <c r="I424" i="2" a="1"/>
  <c r="I424" i="2" s="1"/>
  <c r="J423" i="2" a="1"/>
  <c r="J423" i="2" s="1"/>
  <c r="I423" i="2" a="1"/>
  <c r="I423" i="2" s="1"/>
  <c r="J422" i="2" a="1"/>
  <c r="J422" i="2" s="1"/>
  <c r="I422" i="2" a="1"/>
  <c r="I422" i="2" s="1"/>
  <c r="J421" i="2"/>
  <c r="J421" i="2" a="1"/>
  <c r="I421" i="2" a="1"/>
  <c r="I421" i="2" s="1"/>
  <c r="J420" i="2" a="1"/>
  <c r="J420" i="2" s="1"/>
  <c r="I420" i="2" a="1"/>
  <c r="I420" i="2" s="1"/>
  <c r="J419" i="2" a="1"/>
  <c r="J419" i="2" s="1"/>
  <c r="I419" i="2" a="1"/>
  <c r="I419" i="2" s="1"/>
  <c r="J418" i="2" a="1"/>
  <c r="J418" i="2" s="1"/>
  <c r="I418" i="2"/>
  <c r="I418" i="2" a="1"/>
  <c r="J417" i="2" a="1"/>
  <c r="J417" i="2" s="1"/>
  <c r="I417" i="2" a="1"/>
  <c r="I417" i="2" s="1"/>
  <c r="J416" i="2" a="1"/>
  <c r="J416" i="2" s="1"/>
  <c r="I416" i="2" a="1"/>
  <c r="I416" i="2" s="1"/>
  <c r="J415" i="2" a="1"/>
  <c r="J415" i="2" s="1"/>
  <c r="I415" i="2" a="1"/>
  <c r="I415" i="2" s="1"/>
  <c r="J414" i="2" a="1"/>
  <c r="J414" i="2" s="1"/>
  <c r="I414" i="2" a="1"/>
  <c r="I414" i="2" s="1"/>
  <c r="J413" i="2"/>
  <c r="J413" i="2" a="1"/>
  <c r="I413" i="2" a="1"/>
  <c r="I413" i="2" s="1"/>
  <c r="J412" i="2" a="1"/>
  <c r="J412" i="2" s="1"/>
  <c r="I412" i="2" a="1"/>
  <c r="I412" i="2" s="1"/>
  <c r="J411" i="2" a="1"/>
  <c r="J411" i="2" s="1"/>
  <c r="I411" i="2" a="1"/>
  <c r="I411" i="2" s="1"/>
  <c r="J410" i="2" a="1"/>
  <c r="J410" i="2" s="1"/>
  <c r="I410" i="2"/>
  <c r="I410" i="2" a="1"/>
  <c r="J409" i="2" a="1"/>
  <c r="J409" i="2" s="1"/>
  <c r="I409" i="2" a="1"/>
  <c r="I409" i="2" s="1"/>
  <c r="J408" i="2" a="1"/>
  <c r="J408" i="2" s="1"/>
  <c r="I408" i="2" a="1"/>
  <c r="I408" i="2" s="1"/>
  <c r="J407" i="2" a="1"/>
  <c r="J407" i="2" s="1"/>
  <c r="I407" i="2" a="1"/>
  <c r="I407" i="2" s="1"/>
  <c r="J406" i="2" a="1"/>
  <c r="J406" i="2" s="1"/>
  <c r="I406" i="2" a="1"/>
  <c r="I406" i="2" s="1"/>
  <c r="J405" i="2"/>
  <c r="J405" i="2" a="1"/>
  <c r="I405" i="2" a="1"/>
  <c r="I405" i="2" s="1"/>
  <c r="J404" i="2" a="1"/>
  <c r="J404" i="2" s="1"/>
  <c r="I404" i="2" a="1"/>
  <c r="I404" i="2" s="1"/>
  <c r="J403" i="2" a="1"/>
  <c r="J403" i="2" s="1"/>
  <c r="I403" i="2" a="1"/>
  <c r="I403" i="2" s="1"/>
  <c r="J402" i="2" a="1"/>
  <c r="J402" i="2" s="1"/>
  <c r="I402" i="2"/>
  <c r="I402" i="2" a="1"/>
  <c r="J401" i="2" a="1"/>
  <c r="J401" i="2" s="1"/>
  <c r="I401" i="2" a="1"/>
  <c r="I401" i="2" s="1"/>
  <c r="J400" i="2" a="1"/>
  <c r="J400" i="2" s="1"/>
  <c r="I400" i="2" a="1"/>
  <c r="I400" i="2" s="1"/>
  <c r="J399" i="2" a="1"/>
  <c r="J399" i="2" s="1"/>
  <c r="I399" i="2" a="1"/>
  <c r="I399" i="2" s="1"/>
  <c r="J398" i="2" a="1"/>
  <c r="J398" i="2" s="1"/>
  <c r="I398" i="2" a="1"/>
  <c r="I398" i="2" s="1"/>
  <c r="J397" i="2"/>
  <c r="J397" i="2" a="1"/>
  <c r="I397" i="2" a="1"/>
  <c r="I397" i="2" s="1"/>
  <c r="J396" i="2" a="1"/>
  <c r="J396" i="2" s="1"/>
  <c r="I396" i="2" a="1"/>
  <c r="I396" i="2" s="1"/>
  <c r="J395" i="2" a="1"/>
  <c r="J395" i="2" s="1"/>
  <c r="I395" i="2" a="1"/>
  <c r="I395" i="2" s="1"/>
  <c r="J394" i="2" a="1"/>
  <c r="J394" i="2" s="1"/>
  <c r="I394" i="2"/>
  <c r="I394" i="2" a="1"/>
  <c r="J393" i="2" a="1"/>
  <c r="J393" i="2" s="1"/>
  <c r="I393" i="2" a="1"/>
  <c r="I393" i="2" s="1"/>
  <c r="J392" i="2" a="1"/>
  <c r="J392" i="2" s="1"/>
  <c r="I392" i="2" a="1"/>
  <c r="I392" i="2" s="1"/>
  <c r="J391" i="2" a="1"/>
  <c r="J391" i="2" s="1"/>
  <c r="I391" i="2" a="1"/>
  <c r="I391" i="2" s="1"/>
  <c r="J390" i="2" a="1"/>
  <c r="J390" i="2" s="1"/>
  <c r="I390" i="2" a="1"/>
  <c r="I390" i="2" s="1"/>
  <c r="J389" i="2"/>
  <c r="J389" i="2" a="1"/>
  <c r="I389" i="2" a="1"/>
  <c r="I389" i="2" s="1"/>
  <c r="J388" i="2" a="1"/>
  <c r="J388" i="2" s="1"/>
  <c r="I388" i="2" a="1"/>
  <c r="I388" i="2" s="1"/>
  <c r="J387" i="2" a="1"/>
  <c r="J387" i="2" s="1"/>
  <c r="I387" i="2" a="1"/>
  <c r="I387" i="2" s="1"/>
  <c r="J386" i="2" a="1"/>
  <c r="J386" i="2" s="1"/>
  <c r="I386" i="2"/>
  <c r="I386" i="2" a="1"/>
  <c r="J385" i="2" a="1"/>
  <c r="J385" i="2" s="1"/>
  <c r="I385" i="2" a="1"/>
  <c r="I385" i="2" s="1"/>
  <c r="J384" i="2" a="1"/>
  <c r="J384" i="2" s="1"/>
  <c r="I384" i="2" a="1"/>
  <c r="I384" i="2" s="1"/>
  <c r="J383" i="2" a="1"/>
  <c r="J383" i="2" s="1"/>
  <c r="I383" i="2" a="1"/>
  <c r="I383" i="2" s="1"/>
  <c r="J382" i="2" a="1"/>
  <c r="J382" i="2" s="1"/>
  <c r="I382" i="2" a="1"/>
  <c r="I382" i="2" s="1"/>
  <c r="J381" i="2"/>
  <c r="J381" i="2" a="1"/>
  <c r="I381" i="2" a="1"/>
  <c r="I381" i="2" s="1"/>
  <c r="J380" i="2" a="1"/>
  <c r="J380" i="2" s="1"/>
  <c r="I380" i="2" a="1"/>
  <c r="I380" i="2" s="1"/>
  <c r="J379" i="2" a="1"/>
  <c r="J379" i="2" s="1"/>
  <c r="I379" i="2" a="1"/>
  <c r="I379" i="2" s="1"/>
  <c r="J378" i="2" a="1"/>
  <c r="J378" i="2" s="1"/>
  <c r="I378" i="2"/>
  <c r="I378" i="2" a="1"/>
  <c r="J377" i="2" a="1"/>
  <c r="J377" i="2" s="1"/>
  <c r="I377" i="2" a="1"/>
  <c r="I377" i="2" s="1"/>
  <c r="J376" i="2" a="1"/>
  <c r="J376" i="2" s="1"/>
  <c r="I376" i="2" a="1"/>
  <c r="I376" i="2" s="1"/>
  <c r="J375" i="2" a="1"/>
  <c r="J375" i="2" s="1"/>
  <c r="I375" i="2" a="1"/>
  <c r="I375" i="2" s="1"/>
  <c r="J374" i="2" a="1"/>
  <c r="J374" i="2" s="1"/>
  <c r="I374" i="2" a="1"/>
  <c r="I374" i="2" s="1"/>
  <c r="J373" i="2"/>
  <c r="J373" i="2" a="1"/>
  <c r="I373" i="2" a="1"/>
  <c r="I373" i="2" s="1"/>
  <c r="J372" i="2" a="1"/>
  <c r="J372" i="2" s="1"/>
  <c r="I372" i="2" a="1"/>
  <c r="I372" i="2" s="1"/>
  <c r="J371" i="2" a="1"/>
  <c r="J371" i="2" s="1"/>
  <c r="I371" i="2" a="1"/>
  <c r="I371" i="2" s="1"/>
  <c r="J370" i="2" a="1"/>
  <c r="J370" i="2" s="1"/>
  <c r="I370" i="2"/>
  <c r="I370" i="2" a="1"/>
  <c r="J369" i="2" a="1"/>
  <c r="J369" i="2" s="1"/>
  <c r="I369" i="2" a="1"/>
  <c r="I369" i="2" s="1"/>
  <c r="J368" i="2" a="1"/>
  <c r="J368" i="2" s="1"/>
  <c r="I368" i="2" a="1"/>
  <c r="I368" i="2" s="1"/>
  <c r="J367" i="2" a="1"/>
  <c r="J367" i="2" s="1"/>
  <c r="I367" i="2" a="1"/>
  <c r="I367" i="2" s="1"/>
  <c r="J366" i="2" a="1"/>
  <c r="J366" i="2" s="1"/>
  <c r="I366" i="2" a="1"/>
  <c r="I366" i="2" s="1"/>
  <c r="J365" i="2"/>
  <c r="J365" i="2" a="1"/>
  <c r="I365" i="2" a="1"/>
  <c r="I365" i="2" s="1"/>
  <c r="J364" i="2" a="1"/>
  <c r="J364" i="2" s="1"/>
  <c r="I364" i="2" a="1"/>
  <c r="I364" i="2" s="1"/>
  <c r="J363" i="2" a="1"/>
  <c r="J363" i="2" s="1"/>
  <c r="I363" i="2" a="1"/>
  <c r="I363" i="2" s="1"/>
  <c r="J362" i="2" a="1"/>
  <c r="J362" i="2" s="1"/>
  <c r="I362" i="2"/>
  <c r="I362" i="2" a="1"/>
  <c r="J361" i="2" a="1"/>
  <c r="J361" i="2" s="1"/>
  <c r="I361" i="2" a="1"/>
  <c r="I361" i="2" s="1"/>
  <c r="J360" i="2" a="1"/>
  <c r="J360" i="2" s="1"/>
  <c r="I360" i="2" a="1"/>
  <c r="I360" i="2" s="1"/>
  <c r="J359" i="2" a="1"/>
  <c r="J359" i="2" s="1"/>
  <c r="I359" i="2" a="1"/>
  <c r="I359" i="2" s="1"/>
  <c r="J358" i="2" a="1"/>
  <c r="J358" i="2" s="1"/>
  <c r="I358" i="2" a="1"/>
  <c r="I358" i="2" s="1"/>
  <c r="J357" i="2"/>
  <c r="J357" i="2" a="1"/>
  <c r="I357" i="2" a="1"/>
  <c r="I357" i="2" s="1"/>
  <c r="J356" i="2" a="1"/>
  <c r="J356" i="2" s="1"/>
  <c r="I356" i="2" a="1"/>
  <c r="I356" i="2" s="1"/>
  <c r="J355" i="2" a="1"/>
  <c r="J355" i="2" s="1"/>
  <c r="I355" i="2" a="1"/>
  <c r="I355" i="2" s="1"/>
  <c r="J354" i="2" a="1"/>
  <c r="J354" i="2" s="1"/>
  <c r="I354" i="2"/>
  <c r="I354" i="2" a="1"/>
  <c r="J353" i="2" a="1"/>
  <c r="J353" i="2" s="1"/>
  <c r="I353" i="2" a="1"/>
  <c r="I353" i="2" s="1"/>
  <c r="J352" i="2" a="1"/>
  <c r="J352" i="2" s="1"/>
  <c r="I352" i="2" a="1"/>
  <c r="I352" i="2" s="1"/>
  <c r="J351" i="2" a="1"/>
  <c r="J351" i="2" s="1"/>
  <c r="I351" i="2" a="1"/>
  <c r="I351" i="2" s="1"/>
  <c r="J350" i="2" a="1"/>
  <c r="J350" i="2" s="1"/>
  <c r="I350" i="2" a="1"/>
  <c r="I350" i="2" s="1"/>
  <c r="J349" i="2"/>
  <c r="J349" i="2" a="1"/>
  <c r="I349" i="2" a="1"/>
  <c r="I349" i="2" s="1"/>
  <c r="J348" i="2" a="1"/>
  <c r="J348" i="2" s="1"/>
  <c r="I348" i="2" a="1"/>
  <c r="I348" i="2" s="1"/>
  <c r="J347" i="2" a="1"/>
  <c r="J347" i="2" s="1"/>
  <c r="I347" i="2" a="1"/>
  <c r="I347" i="2" s="1"/>
  <c r="J346" i="2" a="1"/>
  <c r="J346" i="2" s="1"/>
  <c r="I346" i="2" a="1"/>
  <c r="I346" i="2" s="1"/>
  <c r="J345" i="2" a="1"/>
  <c r="J345" i="2" s="1"/>
  <c r="I345" i="2" a="1"/>
  <c r="I345" i="2" s="1"/>
  <c r="J344" i="2" a="1"/>
  <c r="J344" i="2" s="1"/>
  <c r="I344" i="2"/>
  <c r="I344" i="2" a="1"/>
  <c r="J343" i="2"/>
  <c r="J343" i="2" a="1"/>
  <c r="I343" i="2" a="1"/>
  <c r="I343" i="2" s="1"/>
  <c r="J342" i="2" a="1"/>
  <c r="J342" i="2" s="1"/>
  <c r="I342" i="2" a="1"/>
  <c r="I342" i="2" s="1"/>
  <c r="J341" i="2" a="1"/>
  <c r="J341" i="2" s="1"/>
  <c r="I341" i="2" a="1"/>
  <c r="I341" i="2" s="1"/>
  <c r="J340" i="2" a="1"/>
  <c r="J340" i="2" s="1"/>
  <c r="I340" i="2" a="1"/>
  <c r="I340" i="2" s="1"/>
  <c r="J339" i="2" a="1"/>
  <c r="J339" i="2" s="1"/>
  <c r="I339" i="2" a="1"/>
  <c r="I339" i="2" s="1"/>
  <c r="J338" i="2" a="1"/>
  <c r="J338" i="2" s="1"/>
  <c r="I338" i="2" a="1"/>
  <c r="I338" i="2" s="1"/>
  <c r="J337" i="2" a="1"/>
  <c r="J337" i="2" s="1"/>
  <c r="I337" i="2" a="1"/>
  <c r="I337" i="2" s="1"/>
  <c r="J336" i="2"/>
  <c r="J336" i="2" a="1"/>
  <c r="I336" i="2" a="1"/>
  <c r="I336" i="2" s="1"/>
  <c r="J335" i="2" a="1"/>
  <c r="J335" i="2" s="1"/>
  <c r="I335" i="2" a="1"/>
  <c r="I335" i="2" s="1"/>
  <c r="J334" i="2" a="1"/>
  <c r="J334" i="2" s="1"/>
  <c r="I334" i="2" a="1"/>
  <c r="I334" i="2" s="1"/>
  <c r="J333" i="2" a="1"/>
  <c r="J333" i="2" s="1"/>
  <c r="I333" i="2" a="1"/>
  <c r="I333" i="2" s="1"/>
  <c r="J332" i="2"/>
  <c r="J332" i="2" a="1"/>
  <c r="I332" i="2"/>
  <c r="I332" i="2" a="1"/>
  <c r="J331" i="2" a="1"/>
  <c r="J331" i="2" s="1"/>
  <c r="I331" i="2" a="1"/>
  <c r="I331" i="2" s="1"/>
  <c r="J330" i="2"/>
  <c r="J330" i="2" a="1"/>
  <c r="I330" i="2"/>
  <c r="I330" i="2" a="1"/>
  <c r="J329" i="2"/>
  <c r="J329" i="2" a="1"/>
  <c r="I329" i="2" a="1"/>
  <c r="I329" i="2" s="1"/>
  <c r="J328" i="2" a="1"/>
  <c r="J328" i="2" s="1"/>
  <c r="I328" i="2" a="1"/>
  <c r="I328" i="2" s="1"/>
  <c r="J327" i="2" a="1"/>
  <c r="J327" i="2" s="1"/>
  <c r="I327" i="2" a="1"/>
  <c r="I327" i="2" s="1"/>
  <c r="J326" i="2" a="1"/>
  <c r="J326" i="2" s="1"/>
  <c r="I326" i="2" a="1"/>
  <c r="I326" i="2" s="1"/>
  <c r="J325" i="2" a="1"/>
  <c r="J325" i="2" s="1"/>
  <c r="I325" i="2" a="1"/>
  <c r="I325" i="2" s="1"/>
  <c r="J324" i="2"/>
  <c r="J324" i="2" a="1"/>
  <c r="I324" i="2"/>
  <c r="I324" i="2" a="1"/>
  <c r="J323" i="2" a="1"/>
  <c r="J323" i="2" s="1"/>
  <c r="I323" i="2" a="1"/>
  <c r="I323" i="2" s="1"/>
  <c r="J322" i="2"/>
  <c r="J322" i="2" a="1"/>
  <c r="I322" i="2"/>
  <c r="I322" i="2" a="1"/>
  <c r="J321" i="2"/>
  <c r="J321" i="2" a="1"/>
  <c r="I321" i="2" a="1"/>
  <c r="I321" i="2" s="1"/>
  <c r="J320" i="2" a="1"/>
  <c r="J320" i="2" s="1"/>
  <c r="I320" i="2" a="1"/>
  <c r="I320" i="2" s="1"/>
  <c r="J319" i="2" a="1"/>
  <c r="J319" i="2" s="1"/>
  <c r="I319" i="2" a="1"/>
  <c r="I319" i="2" s="1"/>
  <c r="J318" i="2" a="1"/>
  <c r="J318" i="2" s="1"/>
  <c r="I318" i="2" a="1"/>
  <c r="I318" i="2" s="1"/>
  <c r="J317" i="2" a="1"/>
  <c r="J317" i="2" s="1"/>
  <c r="I317" i="2" a="1"/>
  <c r="I317" i="2" s="1"/>
  <c r="J316" i="2"/>
  <c r="J316" i="2" a="1"/>
  <c r="I316" i="2"/>
  <c r="I316" i="2" a="1"/>
  <c r="J315" i="2" a="1"/>
  <c r="J315" i="2" s="1"/>
  <c r="I315" i="2" a="1"/>
  <c r="I315" i="2" s="1"/>
  <c r="J314" i="2"/>
  <c r="J314" i="2" a="1"/>
  <c r="I314" i="2"/>
  <c r="I314" i="2" a="1"/>
  <c r="J313" i="2"/>
  <c r="J313" i="2" a="1"/>
  <c r="I313" i="2" a="1"/>
  <c r="I313" i="2" s="1"/>
  <c r="J312" i="2" a="1"/>
  <c r="J312" i="2" s="1"/>
  <c r="I312" i="2" a="1"/>
  <c r="I312" i="2" s="1"/>
  <c r="J311" i="2" a="1"/>
  <c r="J311" i="2" s="1"/>
  <c r="I311" i="2" a="1"/>
  <c r="I311" i="2" s="1"/>
  <c r="J310" i="2" a="1"/>
  <c r="J310" i="2" s="1"/>
  <c r="I310" i="2" a="1"/>
  <c r="I310" i="2" s="1"/>
  <c r="J309" i="2" a="1"/>
  <c r="J309" i="2" s="1"/>
  <c r="I309" i="2" a="1"/>
  <c r="I309" i="2" s="1"/>
  <c r="J308" i="2"/>
  <c r="J308" i="2" a="1"/>
  <c r="I308" i="2"/>
  <c r="I308" i="2" a="1"/>
  <c r="J307" i="2" a="1"/>
  <c r="J307" i="2" s="1"/>
  <c r="I307" i="2" a="1"/>
  <c r="I307" i="2" s="1"/>
  <c r="J306" i="2"/>
  <c r="J306" i="2" a="1"/>
  <c r="I306" i="2"/>
  <c r="I306" i="2" a="1"/>
  <c r="J305" i="2"/>
  <c r="J305" i="2" a="1"/>
  <c r="I305" i="2" a="1"/>
  <c r="I305" i="2" s="1"/>
  <c r="J304" i="2" a="1"/>
  <c r="J304" i="2" s="1"/>
  <c r="I304" i="2" a="1"/>
  <c r="I304" i="2" s="1"/>
  <c r="J303" i="2" a="1"/>
  <c r="J303" i="2" s="1"/>
  <c r="I303" i="2" a="1"/>
  <c r="I303" i="2" s="1"/>
  <c r="J302" i="2" a="1"/>
  <c r="J302" i="2" s="1"/>
  <c r="I302" i="2" a="1"/>
  <c r="I302" i="2" s="1"/>
  <c r="J301" i="2" a="1"/>
  <c r="J301" i="2" s="1"/>
  <c r="I301" i="2" a="1"/>
  <c r="I301" i="2" s="1"/>
  <c r="J300" i="2"/>
  <c r="J300" i="2" a="1"/>
  <c r="I300" i="2"/>
  <c r="I300" i="2" a="1"/>
  <c r="J299" i="2" a="1"/>
  <c r="J299" i="2" s="1"/>
  <c r="I299" i="2" a="1"/>
  <c r="I299" i="2" s="1"/>
  <c r="J298" i="2"/>
  <c r="J298" i="2" a="1"/>
  <c r="I298" i="2"/>
  <c r="I298" i="2" a="1"/>
  <c r="J297" i="2"/>
  <c r="J297" i="2" a="1"/>
  <c r="I297" i="2" a="1"/>
  <c r="I297" i="2" s="1"/>
  <c r="J296" i="2" a="1"/>
  <c r="J296" i="2" s="1"/>
  <c r="I296" i="2" a="1"/>
  <c r="I296" i="2" s="1"/>
  <c r="J295" i="2" a="1"/>
  <c r="J295" i="2" s="1"/>
  <c r="I295" i="2" a="1"/>
  <c r="I295" i="2" s="1"/>
  <c r="J294" i="2" a="1"/>
  <c r="J294" i="2" s="1"/>
  <c r="I294" i="2" a="1"/>
  <c r="I294" i="2" s="1"/>
  <c r="J293" i="2" a="1"/>
  <c r="J293" i="2" s="1"/>
  <c r="I293" i="2" a="1"/>
  <c r="I293" i="2" s="1"/>
  <c r="J292" i="2"/>
  <c r="J292" i="2" a="1"/>
  <c r="I292" i="2"/>
  <c r="I292" i="2" a="1"/>
  <c r="J291" i="2" a="1"/>
  <c r="J291" i="2" s="1"/>
  <c r="I291" i="2" a="1"/>
  <c r="I291" i="2" s="1"/>
  <c r="J290" i="2"/>
  <c r="J290" i="2" a="1"/>
  <c r="I290" i="2"/>
  <c r="I290" i="2" a="1"/>
  <c r="J289" i="2"/>
  <c r="J289" i="2" a="1"/>
  <c r="I289" i="2" a="1"/>
  <c r="I289" i="2" s="1"/>
  <c r="J288" i="2" a="1"/>
  <c r="J288" i="2" s="1"/>
  <c r="I288" i="2" a="1"/>
  <c r="I288" i="2" s="1"/>
  <c r="J287" i="2" a="1"/>
  <c r="J287" i="2" s="1"/>
  <c r="I287" i="2" a="1"/>
  <c r="I287" i="2" s="1"/>
  <c r="J286" i="2" a="1"/>
  <c r="J286" i="2" s="1"/>
  <c r="I286" i="2" a="1"/>
  <c r="I286" i="2" s="1"/>
  <c r="J285" i="2" a="1"/>
  <c r="J285" i="2" s="1"/>
  <c r="I285" i="2" a="1"/>
  <c r="I285" i="2" s="1"/>
  <c r="J284" i="2"/>
  <c r="J284" i="2" a="1"/>
  <c r="I284" i="2"/>
  <c r="I284" i="2" a="1"/>
  <c r="J283" i="2" a="1"/>
  <c r="J283" i="2" s="1"/>
  <c r="I283" i="2" a="1"/>
  <c r="I283" i="2" s="1"/>
  <c r="J282" i="2"/>
  <c r="J282" i="2" a="1"/>
  <c r="I282" i="2"/>
  <c r="I282" i="2" a="1"/>
  <c r="J281" i="2"/>
  <c r="J281" i="2" a="1"/>
  <c r="I281" i="2" a="1"/>
  <c r="I281" i="2" s="1"/>
  <c r="J280" i="2" a="1"/>
  <c r="J280" i="2" s="1"/>
  <c r="I280" i="2" a="1"/>
  <c r="I280" i="2" s="1"/>
  <c r="J279" i="2" a="1"/>
  <c r="J279" i="2" s="1"/>
  <c r="I279" i="2" a="1"/>
  <c r="I279" i="2" s="1"/>
  <c r="J278" i="2" a="1"/>
  <c r="J278" i="2" s="1"/>
  <c r="I278" i="2" a="1"/>
  <c r="I278" i="2" s="1"/>
  <c r="J277" i="2" a="1"/>
  <c r="J277" i="2" s="1"/>
  <c r="I277" i="2" a="1"/>
  <c r="I277" i="2" s="1"/>
  <c r="J276" i="2"/>
  <c r="J276" i="2" a="1"/>
  <c r="I276" i="2"/>
  <c r="I276" i="2" a="1"/>
  <c r="J275" i="2" a="1"/>
  <c r="J275" i="2" s="1"/>
  <c r="I275" i="2" a="1"/>
  <c r="I275" i="2" s="1"/>
  <c r="J274" i="2"/>
  <c r="J274" i="2" a="1"/>
  <c r="I274" i="2"/>
  <c r="I274" i="2" a="1"/>
  <c r="J273" i="2"/>
  <c r="J273" i="2" a="1"/>
  <c r="I273" i="2" a="1"/>
  <c r="I273" i="2" s="1"/>
  <c r="J272" i="2" a="1"/>
  <c r="J272" i="2" s="1"/>
  <c r="I272" i="2" a="1"/>
  <c r="I272" i="2" s="1"/>
  <c r="J271" i="2" a="1"/>
  <c r="J271" i="2" s="1"/>
  <c r="I271" i="2" a="1"/>
  <c r="I271" i="2" s="1"/>
  <c r="J270" i="2" a="1"/>
  <c r="J270" i="2" s="1"/>
  <c r="I270" i="2" a="1"/>
  <c r="I270" i="2" s="1"/>
  <c r="J269" i="2" a="1"/>
  <c r="J269" i="2" s="1"/>
  <c r="I269" i="2" a="1"/>
  <c r="I269" i="2" s="1"/>
  <c r="J268" i="2"/>
  <c r="J268" i="2" a="1"/>
  <c r="I268" i="2" a="1"/>
  <c r="I268" i="2" s="1"/>
  <c r="J267" i="2" a="1"/>
  <c r="J267" i="2" s="1"/>
  <c r="I267" i="2" a="1"/>
  <c r="I267" i="2" s="1"/>
  <c r="J266" i="2" a="1"/>
  <c r="J266" i="2" s="1"/>
  <c r="I266" i="2" a="1"/>
  <c r="I266" i="2" s="1"/>
  <c r="J265" i="2" a="1"/>
  <c r="J265" i="2" s="1"/>
  <c r="I265" i="2" a="1"/>
  <c r="I265" i="2" s="1"/>
  <c r="J264" i="2"/>
  <c r="J264" i="2" a="1"/>
  <c r="I264" i="2" a="1"/>
  <c r="I264" i="2" s="1"/>
  <c r="J263" i="2" a="1"/>
  <c r="J263" i="2" s="1"/>
  <c r="I263" i="2" a="1"/>
  <c r="I263" i="2" s="1"/>
  <c r="J262" i="2" a="1"/>
  <c r="J262" i="2" s="1"/>
  <c r="I262" i="2" a="1"/>
  <c r="I262" i="2" s="1"/>
  <c r="J261" i="2" a="1"/>
  <c r="J261" i="2" s="1"/>
  <c r="I261" i="2" a="1"/>
  <c r="I261" i="2" s="1"/>
  <c r="J260" i="2"/>
  <c r="J260" i="2" a="1"/>
  <c r="I260" i="2" a="1"/>
  <c r="I260" i="2" s="1"/>
  <c r="J259" i="2" a="1"/>
  <c r="J259" i="2" s="1"/>
  <c r="I259" i="2" a="1"/>
  <c r="I259" i="2" s="1"/>
  <c r="J258" i="2" a="1"/>
  <c r="J258" i="2" s="1"/>
  <c r="I258" i="2" a="1"/>
  <c r="I258" i="2" s="1"/>
  <c r="J257" i="2" a="1"/>
  <c r="J257" i="2" s="1"/>
  <c r="I257" i="2" a="1"/>
  <c r="I257" i="2" s="1"/>
  <c r="J256" i="2"/>
  <c r="J256" i="2" a="1"/>
  <c r="I256" i="2" a="1"/>
  <c r="I256" i="2" s="1"/>
  <c r="J255" i="2" a="1"/>
  <c r="J255" i="2" s="1"/>
  <c r="I255" i="2" a="1"/>
  <c r="I255" i="2" s="1"/>
  <c r="J254" i="2" a="1"/>
  <c r="J254" i="2" s="1"/>
  <c r="I254" i="2" a="1"/>
  <c r="I254" i="2" s="1"/>
  <c r="J253" i="2" a="1"/>
  <c r="J253" i="2" s="1"/>
  <c r="I253" i="2" a="1"/>
  <c r="I253" i="2" s="1"/>
  <c r="J252" i="2"/>
  <c r="J252" i="2" a="1"/>
  <c r="I252" i="2" a="1"/>
  <c r="I252" i="2" s="1"/>
  <c r="J251" i="2" a="1"/>
  <c r="J251" i="2" s="1"/>
  <c r="I251" i="2" a="1"/>
  <c r="I251" i="2" s="1"/>
  <c r="J250" i="2" a="1"/>
  <c r="J250" i="2" s="1"/>
  <c r="I250" i="2" a="1"/>
  <c r="I250" i="2" s="1"/>
  <c r="J249" i="2" a="1"/>
  <c r="J249" i="2" s="1"/>
  <c r="I249" i="2" a="1"/>
  <c r="I249" i="2" s="1"/>
  <c r="J248" i="2" a="1"/>
  <c r="J248" i="2" s="1"/>
  <c r="I248" i="2" a="1"/>
  <c r="I248" i="2" s="1"/>
  <c r="J247" i="2" a="1"/>
  <c r="J247" i="2" s="1"/>
  <c r="I247" i="2" a="1"/>
  <c r="I247" i="2" s="1"/>
  <c r="J246" i="2"/>
  <c r="J246" i="2" a="1"/>
  <c r="I246" i="2"/>
  <c r="I246" i="2" a="1"/>
  <c r="J245" i="2"/>
  <c r="J245" i="2" a="1"/>
  <c r="I245" i="2" a="1"/>
  <c r="I245" i="2" s="1"/>
  <c r="J244" i="2" a="1"/>
  <c r="J244" i="2" s="1"/>
  <c r="I244" i="2" a="1"/>
  <c r="I244" i="2" s="1"/>
  <c r="J243" i="2" a="1"/>
  <c r="J243" i="2" s="1"/>
  <c r="I243" i="2" a="1"/>
  <c r="I243" i="2" s="1"/>
  <c r="J242" i="2" a="1"/>
  <c r="J242" i="2" s="1"/>
  <c r="I242" i="2" a="1"/>
  <c r="I242" i="2" s="1"/>
  <c r="J241" i="2" a="1"/>
  <c r="J241" i="2" s="1"/>
  <c r="I241" i="2" a="1"/>
  <c r="I241" i="2" s="1"/>
  <c r="J240" i="2" a="1"/>
  <c r="J240" i="2" s="1"/>
  <c r="I240" i="2" a="1"/>
  <c r="I240" i="2" s="1"/>
  <c r="J239" i="2" a="1"/>
  <c r="J239" i="2" s="1"/>
  <c r="I239" i="2" a="1"/>
  <c r="I239" i="2" s="1"/>
  <c r="J238" i="2" a="1"/>
  <c r="J238" i="2" s="1"/>
  <c r="I238" i="2" a="1"/>
  <c r="I238" i="2" s="1"/>
  <c r="J237" i="2"/>
  <c r="J237" i="2" a="1"/>
  <c r="I237" i="2" a="1"/>
  <c r="I237" i="2" s="1"/>
  <c r="J236" i="2" a="1"/>
  <c r="J236" i="2" s="1"/>
  <c r="I236" i="2" a="1"/>
  <c r="I236" i="2" s="1"/>
  <c r="J235" i="2" a="1"/>
  <c r="J235" i="2" s="1"/>
  <c r="I235" i="2" a="1"/>
  <c r="I235" i="2" s="1"/>
  <c r="J234" i="2" a="1"/>
  <c r="J234" i="2" s="1"/>
  <c r="I234" i="2" a="1"/>
  <c r="I234" i="2" s="1"/>
  <c r="J233" i="2" a="1"/>
  <c r="J233" i="2" s="1"/>
  <c r="I233" i="2" a="1"/>
  <c r="I233" i="2" s="1"/>
  <c r="J232" i="2" a="1"/>
  <c r="J232" i="2" s="1"/>
  <c r="I232" i="2" a="1"/>
  <c r="I232" i="2" s="1"/>
  <c r="J231" i="2" a="1"/>
  <c r="J231" i="2" s="1"/>
  <c r="I231" i="2" a="1"/>
  <c r="I231" i="2" s="1"/>
  <c r="J230" i="2" a="1"/>
  <c r="J230" i="2" s="1"/>
  <c r="I230" i="2" a="1"/>
  <c r="I230" i="2" s="1"/>
  <c r="J229" i="2" a="1"/>
  <c r="J229" i="2" s="1"/>
  <c r="I229" i="2" a="1"/>
  <c r="I229" i="2" s="1"/>
  <c r="J228" i="2"/>
  <c r="J228" i="2" a="1"/>
  <c r="I228" i="2" a="1"/>
  <c r="I228" i="2" s="1"/>
  <c r="J227" i="2" a="1"/>
  <c r="J227" i="2" s="1"/>
  <c r="I227" i="2" a="1"/>
  <c r="I227" i="2" s="1"/>
  <c r="J226" i="2" a="1"/>
  <c r="J226" i="2" s="1"/>
  <c r="I226" i="2"/>
  <c r="I226" i="2" a="1"/>
  <c r="J225" i="2"/>
  <c r="J225" i="2" a="1"/>
  <c r="I225" i="2" a="1"/>
  <c r="I225" i="2" s="1"/>
  <c r="J224" i="2" a="1"/>
  <c r="J224" i="2" s="1"/>
  <c r="I224" i="2" a="1"/>
  <c r="I224" i="2" s="1"/>
  <c r="J223" i="2" a="1"/>
  <c r="J223" i="2" s="1"/>
  <c r="I223" i="2" a="1"/>
  <c r="I223" i="2" s="1"/>
  <c r="J222" i="2" a="1"/>
  <c r="J222" i="2" s="1"/>
  <c r="I222" i="2" a="1"/>
  <c r="I222" i="2" s="1"/>
  <c r="J221" i="2"/>
  <c r="J221" i="2" a="1"/>
  <c r="I221" i="2" a="1"/>
  <c r="I221" i="2" s="1"/>
  <c r="J220" i="2" a="1"/>
  <c r="J220" i="2" s="1"/>
  <c r="I220" i="2" a="1"/>
  <c r="I220" i="2" s="1"/>
  <c r="J219" i="2" a="1"/>
  <c r="J219" i="2" s="1"/>
  <c r="I219" i="2" a="1"/>
  <c r="I219" i="2" s="1"/>
  <c r="J218" i="2" a="1"/>
  <c r="J218" i="2" s="1"/>
  <c r="I218" i="2" a="1"/>
  <c r="I218" i="2" s="1"/>
  <c r="J217" i="2" a="1"/>
  <c r="J217" i="2" s="1"/>
  <c r="I217" i="2" a="1"/>
  <c r="I217" i="2" s="1"/>
  <c r="J216" i="2" a="1"/>
  <c r="J216" i="2" s="1"/>
  <c r="I216" i="2" a="1"/>
  <c r="I216" i="2" s="1"/>
  <c r="J215" i="2" a="1"/>
  <c r="J215" i="2" s="1"/>
  <c r="I215" i="2" a="1"/>
  <c r="I215" i="2" s="1"/>
  <c r="J214" i="2" a="1"/>
  <c r="J214" i="2" s="1"/>
  <c r="I214" i="2" a="1"/>
  <c r="I214" i="2" s="1"/>
  <c r="J213" i="2" a="1"/>
  <c r="J213" i="2" s="1"/>
  <c r="I213" i="2" a="1"/>
  <c r="I213" i="2" s="1"/>
  <c r="J212" i="2" a="1"/>
  <c r="J212" i="2" s="1"/>
  <c r="I212" i="2" a="1"/>
  <c r="I212" i="2" s="1"/>
  <c r="J211" i="2" a="1"/>
  <c r="J211" i="2" s="1"/>
  <c r="I211" i="2" a="1"/>
  <c r="I211" i="2" s="1"/>
  <c r="J210" i="2" a="1"/>
  <c r="J210" i="2" s="1"/>
  <c r="I210" i="2" a="1"/>
  <c r="I210" i="2" s="1"/>
  <c r="J209" i="2" a="1"/>
  <c r="J209" i="2" s="1"/>
  <c r="I209" i="2" a="1"/>
  <c r="I209" i="2" s="1"/>
  <c r="J208" i="2" a="1"/>
  <c r="J208" i="2" s="1"/>
  <c r="I208" i="2" a="1"/>
  <c r="I208" i="2" s="1"/>
  <c r="J207" i="2" a="1"/>
  <c r="J207" i="2" s="1"/>
  <c r="I207" i="2" a="1"/>
  <c r="I207" i="2" s="1"/>
  <c r="J206" i="2"/>
  <c r="J206" i="2" a="1"/>
  <c r="I206" i="2" a="1"/>
  <c r="I206" i="2" s="1"/>
  <c r="J205" i="2" a="1"/>
  <c r="J205" i="2" s="1"/>
  <c r="I205" i="2" a="1"/>
  <c r="I205" i="2" s="1"/>
  <c r="J204" i="2" a="1"/>
  <c r="J204" i="2" s="1"/>
  <c r="I204" i="2" a="1"/>
  <c r="I204" i="2" s="1"/>
  <c r="J203" i="2" a="1"/>
  <c r="J203" i="2" s="1"/>
  <c r="I203" i="2" a="1"/>
  <c r="I203" i="2" s="1"/>
  <c r="J202" i="2"/>
  <c r="J202" i="2" a="1"/>
  <c r="I202" i="2"/>
  <c r="I202" i="2" a="1"/>
  <c r="J201" i="2"/>
  <c r="J201" i="2" a="1"/>
  <c r="I201" i="2" a="1"/>
  <c r="I201" i="2" s="1"/>
  <c r="J200" i="2" a="1"/>
  <c r="J200" i="2" s="1"/>
  <c r="I200" i="2" a="1"/>
  <c r="I200" i="2" s="1"/>
  <c r="J199" i="2" a="1"/>
  <c r="J199" i="2" s="1"/>
  <c r="I199" i="2" a="1"/>
  <c r="I199" i="2" s="1"/>
  <c r="J198" i="2" a="1"/>
  <c r="J198" i="2" s="1"/>
  <c r="I198" i="2" a="1"/>
  <c r="I198" i="2" s="1"/>
  <c r="J197" i="2" a="1"/>
  <c r="J197" i="2" s="1"/>
  <c r="I197" i="2" a="1"/>
  <c r="I197" i="2" s="1"/>
  <c r="J196" i="2"/>
  <c r="J196" i="2" a="1"/>
  <c r="I196" i="2" a="1"/>
  <c r="I196" i="2" s="1"/>
  <c r="J195" i="2" a="1"/>
  <c r="J195" i="2" s="1"/>
  <c r="I195" i="2" a="1"/>
  <c r="I195" i="2" s="1"/>
  <c r="J194" i="2" a="1"/>
  <c r="J194" i="2" s="1"/>
  <c r="I194" i="2"/>
  <c r="I194" i="2" a="1"/>
  <c r="J193" i="2"/>
  <c r="J193" i="2" a="1"/>
  <c r="I193" i="2" a="1"/>
  <c r="I193" i="2" s="1"/>
  <c r="J192" i="2" a="1"/>
  <c r="J192" i="2" s="1"/>
  <c r="I192" i="2" a="1"/>
  <c r="I192" i="2" s="1"/>
  <c r="J191" i="2" a="1"/>
  <c r="J191" i="2" s="1"/>
  <c r="I191" i="2" a="1"/>
  <c r="I191" i="2" s="1"/>
  <c r="J190" i="2"/>
  <c r="J190" i="2" a="1"/>
  <c r="I190" i="2" a="1"/>
  <c r="I190" i="2" s="1"/>
  <c r="J189" i="2" a="1"/>
  <c r="J189" i="2" s="1"/>
  <c r="I189" i="2" a="1"/>
  <c r="I189" i="2" s="1"/>
  <c r="J188" i="2" a="1"/>
  <c r="J188" i="2" s="1"/>
  <c r="I188" i="2" a="1"/>
  <c r="I188" i="2" s="1"/>
  <c r="J187" i="2" a="1"/>
  <c r="J187" i="2" s="1"/>
  <c r="I187" i="2" a="1"/>
  <c r="I187" i="2" s="1"/>
  <c r="J186" i="2" a="1"/>
  <c r="J186" i="2" s="1"/>
  <c r="I186" i="2" a="1"/>
  <c r="I186" i="2" s="1"/>
  <c r="J185" i="2" a="1"/>
  <c r="J185" i="2" s="1"/>
  <c r="I185" i="2" a="1"/>
  <c r="I185" i="2" s="1"/>
  <c r="J184" i="2" a="1"/>
  <c r="J184" i="2" s="1"/>
  <c r="I184" i="2" a="1"/>
  <c r="I184" i="2" s="1"/>
  <c r="J183" i="2" a="1"/>
  <c r="J183" i="2" s="1"/>
  <c r="I183" i="2" a="1"/>
  <c r="I183" i="2" s="1"/>
  <c r="J182" i="2"/>
  <c r="J182" i="2" a="1"/>
  <c r="I182" i="2"/>
  <c r="I182" i="2" a="1"/>
  <c r="J181" i="2"/>
  <c r="J181" i="2" a="1"/>
  <c r="I181" i="2" a="1"/>
  <c r="I181" i="2" s="1"/>
  <c r="J180" i="2" a="1"/>
  <c r="J180" i="2" s="1"/>
  <c r="I180" i="2" a="1"/>
  <c r="I180" i="2" s="1"/>
  <c r="J179" i="2" a="1"/>
  <c r="J179" i="2" s="1"/>
  <c r="I179" i="2" a="1"/>
  <c r="I179" i="2" s="1"/>
  <c r="J178" i="2" a="1"/>
  <c r="J178" i="2" s="1"/>
  <c r="I178" i="2" a="1"/>
  <c r="I178" i="2" s="1"/>
  <c r="J177" i="2" a="1"/>
  <c r="J177" i="2" s="1"/>
  <c r="I177" i="2" a="1"/>
  <c r="I177" i="2" s="1"/>
  <c r="J176" i="2" a="1"/>
  <c r="J176" i="2" s="1"/>
  <c r="I176" i="2" a="1"/>
  <c r="I176" i="2" s="1"/>
  <c r="J175" i="2" a="1"/>
  <c r="J175" i="2" s="1"/>
  <c r="I175" i="2" a="1"/>
  <c r="I175" i="2" s="1"/>
  <c r="J174" i="2"/>
  <c r="J174" i="2" a="1"/>
  <c r="I174" i="2" a="1"/>
  <c r="I174" i="2" s="1"/>
  <c r="J173" i="2" a="1"/>
  <c r="J173" i="2" s="1"/>
  <c r="I173" i="2" a="1"/>
  <c r="I173" i="2" s="1"/>
  <c r="J172" i="2" a="1"/>
  <c r="J172" i="2" s="1"/>
  <c r="I172" i="2" a="1"/>
  <c r="I172" i="2" s="1"/>
  <c r="J171" i="2" a="1"/>
  <c r="J171" i="2" s="1"/>
  <c r="I171" i="2" a="1"/>
  <c r="I171" i="2" s="1"/>
  <c r="J170" i="2"/>
  <c r="J170" i="2" a="1"/>
  <c r="I170" i="2"/>
  <c r="I170" i="2" a="1"/>
  <c r="J169" i="2" a="1"/>
  <c r="J169" i="2" s="1"/>
  <c r="I169" i="2" a="1"/>
  <c r="I169" i="2" s="1"/>
  <c r="J168" i="2" a="1"/>
  <c r="J168" i="2" s="1"/>
  <c r="I168" i="2" a="1"/>
  <c r="I168" i="2" s="1"/>
  <c r="J167" i="2" a="1"/>
  <c r="J167" i="2" s="1"/>
  <c r="I167" i="2" a="1"/>
  <c r="I167" i="2" s="1"/>
  <c r="J166" i="2" a="1"/>
  <c r="J166" i="2" s="1"/>
  <c r="I166" i="2" a="1"/>
  <c r="I166" i="2" s="1"/>
  <c r="J165" i="2" a="1"/>
  <c r="J165" i="2" s="1"/>
  <c r="I165" i="2" a="1"/>
  <c r="I165" i="2" s="1"/>
  <c r="J164" i="2" a="1"/>
  <c r="J164" i="2" s="1"/>
  <c r="I164" i="2" a="1"/>
  <c r="I164" i="2" s="1"/>
  <c r="J163" i="2" a="1"/>
  <c r="J163" i="2" s="1"/>
  <c r="I163" i="2" a="1"/>
  <c r="I163" i="2" s="1"/>
  <c r="J162" i="2" a="1"/>
  <c r="J162" i="2" s="1"/>
  <c r="I162" i="2" a="1"/>
  <c r="I162" i="2" s="1"/>
  <c r="J161" i="2" a="1"/>
  <c r="J161" i="2" s="1"/>
  <c r="I161" i="2" a="1"/>
  <c r="I161" i="2" s="1"/>
  <c r="J160" i="2" a="1"/>
  <c r="J160" i="2" s="1"/>
  <c r="I160" i="2" a="1"/>
  <c r="I160" i="2" s="1"/>
  <c r="J159" i="2" a="1"/>
  <c r="J159" i="2" s="1"/>
  <c r="I159" i="2" a="1"/>
  <c r="I159" i="2" s="1"/>
  <c r="J158" i="2" a="1"/>
  <c r="J158" i="2" s="1"/>
  <c r="I158" i="2" a="1"/>
  <c r="I158" i="2" s="1"/>
  <c r="J157" i="2" a="1"/>
  <c r="J157" i="2" s="1"/>
  <c r="I157" i="2" a="1"/>
  <c r="I157" i="2" s="1"/>
  <c r="J156" i="2" a="1"/>
  <c r="J156" i="2" s="1"/>
  <c r="I156" i="2" a="1"/>
  <c r="I156" i="2" s="1"/>
  <c r="J155" i="2" a="1"/>
  <c r="J155" i="2" s="1"/>
  <c r="I155" i="2" a="1"/>
  <c r="I155" i="2" s="1"/>
  <c r="J154" i="2" a="1"/>
  <c r="J154" i="2" s="1"/>
  <c r="I154" i="2" a="1"/>
  <c r="I154" i="2" s="1"/>
  <c r="J153" i="2" a="1"/>
  <c r="J153" i="2" s="1"/>
  <c r="I153" i="2" a="1"/>
  <c r="I153" i="2" s="1"/>
  <c r="J152" i="2" a="1"/>
  <c r="J152" i="2" s="1"/>
  <c r="I152" i="2" a="1"/>
  <c r="I152" i="2" s="1"/>
  <c r="J151" i="2" a="1"/>
  <c r="J151" i="2" s="1"/>
  <c r="I151" i="2" a="1"/>
  <c r="I151" i="2" s="1"/>
  <c r="J150" i="2" a="1"/>
  <c r="J150" i="2" s="1"/>
  <c r="I150" i="2" a="1"/>
  <c r="I150" i="2" s="1"/>
  <c r="J149" i="2" a="1"/>
  <c r="J149" i="2" s="1"/>
  <c r="I149" i="2" a="1"/>
  <c r="I149" i="2" s="1"/>
  <c r="J148" i="2" a="1"/>
  <c r="J148" i="2" s="1"/>
  <c r="I148" i="2" a="1"/>
  <c r="I148" i="2" s="1"/>
  <c r="J147" i="2" a="1"/>
  <c r="J147" i="2" s="1"/>
  <c r="I147" i="2" a="1"/>
  <c r="I147" i="2" s="1"/>
  <c r="J146" i="2" a="1"/>
  <c r="J146" i="2" s="1"/>
  <c r="I146" i="2" a="1"/>
  <c r="I146" i="2" s="1"/>
  <c r="J145" i="2" a="1"/>
  <c r="J145" i="2" s="1"/>
  <c r="I145" i="2" a="1"/>
  <c r="I145" i="2" s="1"/>
  <c r="J144" i="2" a="1"/>
  <c r="J144" i="2" s="1"/>
  <c r="I144" i="2" a="1"/>
  <c r="I144" i="2" s="1"/>
  <c r="J143" i="2" a="1"/>
  <c r="J143" i="2" s="1"/>
  <c r="I143" i="2" a="1"/>
  <c r="I143" i="2" s="1"/>
  <c r="J142" i="2" a="1"/>
  <c r="J142" i="2" s="1"/>
  <c r="I142" i="2" a="1"/>
  <c r="I142" i="2" s="1"/>
  <c r="J141" i="2" a="1"/>
  <c r="J141" i="2" s="1"/>
  <c r="I141" i="2" a="1"/>
  <c r="I141" i="2" s="1"/>
  <c r="J140" i="2" a="1"/>
  <c r="J140" i="2" s="1"/>
  <c r="I140" i="2" a="1"/>
  <c r="I140" i="2" s="1"/>
  <c r="J139" i="2" a="1"/>
  <c r="J139" i="2" s="1"/>
  <c r="I139" i="2" a="1"/>
  <c r="I139" i="2" s="1"/>
  <c r="J138" i="2" a="1"/>
  <c r="J138" i="2" s="1"/>
  <c r="I138" i="2" a="1"/>
  <c r="I138" i="2" s="1"/>
  <c r="J137" i="2" a="1"/>
  <c r="J137" i="2" s="1"/>
  <c r="I137" i="2" a="1"/>
  <c r="I137" i="2" s="1"/>
  <c r="J136" i="2" a="1"/>
  <c r="J136" i="2" s="1"/>
  <c r="I136" i="2" a="1"/>
  <c r="I136" i="2" s="1"/>
  <c r="J135" i="2" a="1"/>
  <c r="J135" i="2" s="1"/>
  <c r="I135" i="2" a="1"/>
  <c r="I135" i="2" s="1"/>
  <c r="J134" i="2" a="1"/>
  <c r="J134" i="2" s="1"/>
  <c r="I134" i="2" a="1"/>
  <c r="I134" i="2" s="1"/>
  <c r="J133" i="2" a="1"/>
  <c r="J133" i="2" s="1"/>
  <c r="I133" i="2" a="1"/>
  <c r="I133" i="2" s="1"/>
  <c r="J132" i="2" a="1"/>
  <c r="J132" i="2" s="1"/>
  <c r="I132" i="2" a="1"/>
  <c r="I132" i="2" s="1"/>
  <c r="J131" i="2" a="1"/>
  <c r="J131" i="2" s="1"/>
  <c r="I131" i="2" a="1"/>
  <c r="I131" i="2" s="1"/>
  <c r="J130" i="2" a="1"/>
  <c r="J130" i="2" s="1"/>
  <c r="I130" i="2" a="1"/>
  <c r="I130" i="2" s="1"/>
  <c r="J129" i="2" a="1"/>
  <c r="J129" i="2" s="1"/>
  <c r="I129" i="2" a="1"/>
  <c r="I129" i="2" s="1"/>
  <c r="J128" i="2" a="1"/>
  <c r="J128" i="2" s="1"/>
  <c r="I128" i="2" a="1"/>
  <c r="I128" i="2" s="1"/>
  <c r="J127" i="2" a="1"/>
  <c r="J127" i="2" s="1"/>
  <c r="I127" i="2" a="1"/>
  <c r="I127" i="2" s="1"/>
  <c r="J126" i="2" a="1"/>
  <c r="J126" i="2" s="1"/>
  <c r="I126" i="2" a="1"/>
  <c r="I126" i="2" s="1"/>
  <c r="J125" i="2" a="1"/>
  <c r="J125" i="2" s="1"/>
  <c r="I125" i="2" a="1"/>
  <c r="I125" i="2" s="1"/>
  <c r="J124" i="2" a="1"/>
  <c r="J124" i="2" s="1"/>
  <c r="I124" i="2" a="1"/>
  <c r="I124" i="2" s="1"/>
  <c r="J123" i="2" a="1"/>
  <c r="J123" i="2" s="1"/>
  <c r="I123" i="2" a="1"/>
  <c r="I123" i="2" s="1"/>
  <c r="J122" i="2" a="1"/>
  <c r="J122" i="2" s="1"/>
  <c r="I122" i="2" a="1"/>
  <c r="I122" i="2" s="1"/>
  <c r="J121" i="2" a="1"/>
  <c r="J121" i="2" s="1"/>
  <c r="I121" i="2" a="1"/>
  <c r="I121" i="2" s="1"/>
  <c r="J120" i="2" a="1"/>
  <c r="J120" i="2" s="1"/>
  <c r="I120" i="2" a="1"/>
  <c r="I120" i="2" s="1"/>
  <c r="J119" i="2" a="1"/>
  <c r="J119" i="2" s="1"/>
  <c r="I119" i="2" a="1"/>
  <c r="I119" i="2" s="1"/>
  <c r="J118" i="2" a="1"/>
  <c r="J118" i="2" s="1"/>
  <c r="I118" i="2" a="1"/>
  <c r="I118" i="2" s="1"/>
  <c r="J117" i="2" a="1"/>
  <c r="J117" i="2" s="1"/>
  <c r="I117" i="2" a="1"/>
  <c r="I117" i="2" s="1"/>
  <c r="J116" i="2" a="1"/>
  <c r="J116" i="2" s="1"/>
  <c r="I116" i="2" a="1"/>
  <c r="I116" i="2" s="1"/>
  <c r="J115" i="2" a="1"/>
  <c r="J115" i="2" s="1"/>
  <c r="I115" i="2" a="1"/>
  <c r="I115" i="2" s="1"/>
  <c r="J114" i="2" a="1"/>
  <c r="J114" i="2" s="1"/>
  <c r="I114" i="2" a="1"/>
  <c r="I114" i="2" s="1"/>
  <c r="J113" i="2" a="1"/>
  <c r="J113" i="2" s="1"/>
  <c r="I113" i="2" a="1"/>
  <c r="I113" i="2" s="1"/>
  <c r="J112" i="2" a="1"/>
  <c r="J112" i="2" s="1"/>
  <c r="I112" i="2" a="1"/>
  <c r="I112" i="2" s="1"/>
  <c r="J111" i="2" a="1"/>
  <c r="J111" i="2" s="1"/>
  <c r="I111" i="2" a="1"/>
  <c r="I111" i="2" s="1"/>
  <c r="J110" i="2" a="1"/>
  <c r="J110" i="2" s="1"/>
  <c r="I110" i="2" a="1"/>
  <c r="I110" i="2" s="1"/>
  <c r="J109" i="2" a="1"/>
  <c r="J109" i="2" s="1"/>
  <c r="I109" i="2" a="1"/>
  <c r="I109" i="2" s="1"/>
  <c r="J108" i="2" a="1"/>
  <c r="J108" i="2" s="1"/>
  <c r="I108" i="2" a="1"/>
  <c r="I108" i="2" s="1"/>
  <c r="J107" i="2" a="1"/>
  <c r="J107" i="2" s="1"/>
  <c r="I107" i="2" a="1"/>
  <c r="I107" i="2" s="1"/>
  <c r="J106" i="2" a="1"/>
  <c r="J106" i="2" s="1"/>
  <c r="I106" i="2" a="1"/>
  <c r="I106" i="2" s="1"/>
  <c r="J105" i="2" a="1"/>
  <c r="J105" i="2" s="1"/>
  <c r="I105" i="2" a="1"/>
  <c r="I105" i="2" s="1"/>
  <c r="J104" i="2" a="1"/>
  <c r="J104" i="2" s="1"/>
  <c r="I104" i="2" a="1"/>
  <c r="I104" i="2" s="1"/>
  <c r="J103" i="2" a="1"/>
  <c r="J103" i="2" s="1"/>
  <c r="I103" i="2" a="1"/>
  <c r="I103" i="2" s="1"/>
  <c r="J102" i="2" a="1"/>
  <c r="J102" i="2" s="1"/>
  <c r="I102" i="2" a="1"/>
  <c r="I102" i="2" s="1"/>
  <c r="J101" i="2" a="1"/>
  <c r="J101" i="2" s="1"/>
  <c r="I101" i="2" a="1"/>
  <c r="I101" i="2" s="1"/>
  <c r="J100" i="2" a="1"/>
  <c r="J100" i="2" s="1"/>
  <c r="I100" i="2" a="1"/>
  <c r="I100" i="2" s="1"/>
  <c r="J99" i="2" a="1"/>
  <c r="J99" i="2" s="1"/>
  <c r="I99" i="2" a="1"/>
  <c r="I99" i="2" s="1"/>
  <c r="J98" i="2" a="1"/>
  <c r="J98" i="2" s="1"/>
  <c r="I98" i="2" a="1"/>
  <c r="I98" i="2" s="1"/>
  <c r="J97" i="2" a="1"/>
  <c r="J97" i="2" s="1"/>
  <c r="I97" i="2" a="1"/>
  <c r="I97" i="2" s="1"/>
  <c r="J96" i="2" a="1"/>
  <c r="J96" i="2" s="1"/>
  <c r="I96" i="2" a="1"/>
  <c r="I96" i="2" s="1"/>
  <c r="J95" i="2" a="1"/>
  <c r="J95" i="2" s="1"/>
  <c r="I95" i="2" a="1"/>
  <c r="I95" i="2" s="1"/>
  <c r="J94" i="2" a="1"/>
  <c r="J94" i="2" s="1"/>
  <c r="I94" i="2" a="1"/>
  <c r="I94" i="2" s="1"/>
  <c r="J93" i="2" a="1"/>
  <c r="J93" i="2" s="1"/>
  <c r="I93" i="2" a="1"/>
  <c r="I93" i="2" s="1"/>
  <c r="J92" i="2" a="1"/>
  <c r="J92" i="2" s="1"/>
  <c r="I92" i="2" a="1"/>
  <c r="I92" i="2" s="1"/>
  <c r="J91" i="2" a="1"/>
  <c r="J91" i="2" s="1"/>
  <c r="I91" i="2" a="1"/>
  <c r="I91" i="2" s="1"/>
  <c r="J90" i="2" a="1"/>
  <c r="J90" i="2" s="1"/>
  <c r="I90" i="2" a="1"/>
  <c r="I90" i="2" s="1"/>
  <c r="J89" i="2" a="1"/>
  <c r="J89" i="2" s="1"/>
  <c r="I89" i="2" a="1"/>
  <c r="I89" i="2" s="1"/>
  <c r="J88" i="2" a="1"/>
  <c r="J88" i="2" s="1"/>
  <c r="I88" i="2" a="1"/>
  <c r="I88" i="2" s="1"/>
  <c r="J87" i="2" a="1"/>
  <c r="J87" i="2" s="1"/>
  <c r="I87" i="2" a="1"/>
  <c r="I87" i="2" s="1"/>
  <c r="J86" i="2" a="1"/>
  <c r="J86" i="2" s="1"/>
  <c r="I86" i="2" a="1"/>
  <c r="I86" i="2" s="1"/>
  <c r="J85" i="2" a="1"/>
  <c r="J85" i="2" s="1"/>
  <c r="I85" i="2" a="1"/>
  <c r="I85" i="2" s="1"/>
  <c r="J84" i="2" a="1"/>
  <c r="J84" i="2" s="1"/>
  <c r="I84" i="2" a="1"/>
  <c r="I84" i="2" s="1"/>
  <c r="J83" i="2" a="1"/>
  <c r="J83" i="2" s="1"/>
  <c r="I83" i="2" a="1"/>
  <c r="I83" i="2" s="1"/>
  <c r="J82" i="2" a="1"/>
  <c r="J82" i="2" s="1"/>
  <c r="I82" i="2" a="1"/>
  <c r="I82" i="2" s="1"/>
  <c r="J81" i="2" a="1"/>
  <c r="J81" i="2" s="1"/>
  <c r="I81" i="2" a="1"/>
  <c r="I81" i="2" s="1"/>
  <c r="J80" i="2" a="1"/>
  <c r="J80" i="2" s="1"/>
  <c r="I80" i="2" a="1"/>
  <c r="I80" i="2" s="1"/>
  <c r="J79" i="2" a="1"/>
  <c r="J79" i="2" s="1"/>
  <c r="I79" i="2" a="1"/>
  <c r="I79" i="2" s="1"/>
  <c r="J78" i="2" a="1"/>
  <c r="J78" i="2" s="1"/>
  <c r="I78" i="2" a="1"/>
  <c r="I78" i="2" s="1"/>
  <c r="J77" i="2" a="1"/>
  <c r="J77" i="2" s="1"/>
  <c r="I77" i="2" a="1"/>
  <c r="I77" i="2" s="1"/>
  <c r="J76" i="2" a="1"/>
  <c r="J76" i="2" s="1"/>
  <c r="I76" i="2" a="1"/>
  <c r="I76" i="2" s="1"/>
  <c r="J75" i="2" a="1"/>
  <c r="J75" i="2" s="1"/>
  <c r="I75" i="2" a="1"/>
  <c r="I75" i="2" s="1"/>
  <c r="J74" i="2" a="1"/>
  <c r="J74" i="2" s="1"/>
  <c r="I74" i="2" a="1"/>
  <c r="I74" i="2" s="1"/>
  <c r="J73" i="2" a="1"/>
  <c r="J73" i="2" s="1"/>
  <c r="I73" i="2" a="1"/>
  <c r="I73" i="2" s="1"/>
  <c r="J72" i="2" a="1"/>
  <c r="J72" i="2" s="1"/>
  <c r="I72" i="2" a="1"/>
  <c r="I72" i="2" s="1"/>
  <c r="J71" i="2" a="1"/>
  <c r="J71" i="2" s="1"/>
  <c r="I71" i="2" a="1"/>
  <c r="I71" i="2" s="1"/>
  <c r="J70" i="2" a="1"/>
  <c r="J70" i="2" s="1"/>
  <c r="I70" i="2" a="1"/>
  <c r="I70" i="2" s="1"/>
  <c r="J69" i="2" a="1"/>
  <c r="J69" i="2" s="1"/>
  <c r="I69" i="2" a="1"/>
  <c r="I69" i="2" s="1"/>
  <c r="J68" i="2" a="1"/>
  <c r="J68" i="2" s="1"/>
  <c r="I68" i="2" a="1"/>
  <c r="I68" i="2" s="1"/>
  <c r="J67" i="2" a="1"/>
  <c r="J67" i="2" s="1"/>
  <c r="I67" i="2" a="1"/>
  <c r="I67" i="2" s="1"/>
  <c r="J66" i="2" a="1"/>
  <c r="J66" i="2" s="1"/>
  <c r="I66" i="2" a="1"/>
  <c r="I66" i="2" s="1"/>
  <c r="J65" i="2" a="1"/>
  <c r="J65" i="2" s="1"/>
  <c r="I65" i="2" a="1"/>
  <c r="I65" i="2" s="1"/>
  <c r="J64" i="2" a="1"/>
  <c r="J64" i="2" s="1"/>
  <c r="I64" i="2" a="1"/>
  <c r="I64" i="2" s="1"/>
  <c r="J63" i="2" a="1"/>
  <c r="J63" i="2" s="1"/>
  <c r="I63" i="2" a="1"/>
  <c r="I63" i="2" s="1"/>
  <c r="J62" i="2" a="1"/>
  <c r="J62" i="2" s="1"/>
  <c r="I62" i="2" a="1"/>
  <c r="I62" i="2" s="1"/>
  <c r="J61" i="2" a="1"/>
  <c r="J61" i="2" s="1"/>
  <c r="I61" i="2" a="1"/>
  <c r="I61" i="2" s="1"/>
  <c r="J60" i="2" a="1"/>
  <c r="J60" i="2" s="1"/>
  <c r="I60" i="2" a="1"/>
  <c r="I60" i="2" s="1"/>
  <c r="J59" i="2" a="1"/>
  <c r="J59" i="2" s="1"/>
  <c r="I59" i="2" a="1"/>
  <c r="I59" i="2" s="1"/>
  <c r="J58" i="2" a="1"/>
  <c r="J58" i="2" s="1"/>
  <c r="I58" i="2" a="1"/>
  <c r="I58" i="2" s="1"/>
  <c r="J57" i="2" a="1"/>
  <c r="J57" i="2" s="1"/>
  <c r="I57" i="2" a="1"/>
  <c r="I57" i="2" s="1"/>
  <c r="J56" i="2" a="1"/>
  <c r="J56" i="2" s="1"/>
  <c r="I56" i="2" a="1"/>
  <c r="I56" i="2" s="1"/>
  <c r="J55" i="2"/>
  <c r="J55" i="2" a="1"/>
  <c r="I55" i="2" a="1"/>
  <c r="I55" i="2" s="1"/>
  <c r="J54" i="2" a="1"/>
  <c r="J54" i="2" s="1"/>
  <c r="I54" i="2" a="1"/>
  <c r="I54" i="2" s="1"/>
  <c r="J53" i="2" a="1"/>
  <c r="J53" i="2" s="1"/>
  <c r="I53" i="2" a="1"/>
  <c r="I53" i="2" s="1"/>
  <c r="J52" i="2" a="1"/>
  <c r="J52" i="2" s="1"/>
  <c r="I52" i="2" a="1"/>
  <c r="I52" i="2" s="1"/>
  <c r="J51" i="2"/>
  <c r="J51" i="2" a="1"/>
  <c r="I51" i="2" a="1"/>
  <c r="I51" i="2" s="1"/>
  <c r="J50" i="2" a="1"/>
  <c r="J50" i="2" s="1"/>
  <c r="I50" i="2" a="1"/>
  <c r="I50" i="2" s="1"/>
  <c r="J49" i="2" a="1"/>
  <c r="J49" i="2" s="1"/>
  <c r="I49" i="2" a="1"/>
  <c r="I49" i="2" s="1"/>
  <c r="J48" i="2" a="1"/>
  <c r="J48" i="2" s="1"/>
  <c r="I48" i="2" a="1"/>
  <c r="I48" i="2" s="1"/>
  <c r="J47" i="2"/>
  <c r="J47" i="2" a="1"/>
  <c r="I47" i="2"/>
  <c r="I47" i="2" a="1"/>
  <c r="J46" i="2" a="1"/>
  <c r="J46" i="2" s="1"/>
  <c r="I46" i="2" a="1"/>
  <c r="I46" i="2" s="1"/>
  <c r="J45" i="2" a="1"/>
  <c r="J45" i="2" s="1"/>
  <c r="I45" i="2" a="1"/>
  <c r="I45" i="2" s="1"/>
  <c r="J44" i="2" a="1"/>
  <c r="J44" i="2" s="1"/>
  <c r="I44" i="2" a="1"/>
  <c r="I44" i="2" s="1"/>
  <c r="J43" i="2"/>
  <c r="J43" i="2" a="1"/>
  <c r="I43" i="2" a="1"/>
  <c r="I43" i="2" s="1"/>
  <c r="J42" i="2" a="1"/>
  <c r="J42" i="2" s="1"/>
  <c r="I42" i="2" a="1"/>
  <c r="I42" i="2" s="1"/>
  <c r="J41" i="2" a="1"/>
  <c r="J41" i="2" s="1"/>
  <c r="I41" i="2" a="1"/>
  <c r="I41" i="2" s="1"/>
  <c r="J40" i="2" a="1"/>
  <c r="J40" i="2" s="1"/>
  <c r="I40" i="2" a="1"/>
  <c r="I40" i="2" s="1"/>
  <c r="J39" i="2" a="1"/>
  <c r="J39" i="2" s="1"/>
  <c r="I39" i="2" a="1"/>
  <c r="I39" i="2" s="1"/>
  <c r="J38" i="2" a="1"/>
  <c r="J38" i="2" s="1"/>
  <c r="I38" i="2" a="1"/>
  <c r="I38" i="2" s="1"/>
  <c r="J37" i="2" a="1"/>
  <c r="J37" i="2" s="1"/>
  <c r="I37" i="2" a="1"/>
  <c r="I37" i="2" s="1"/>
  <c r="J36" i="2" a="1"/>
  <c r="J36" i="2" s="1"/>
  <c r="I36" i="2" a="1"/>
  <c r="I36" i="2" s="1"/>
  <c r="J35" i="2" a="1"/>
  <c r="J35" i="2" s="1"/>
  <c r="I35" i="2" a="1"/>
  <c r="I35" i="2" s="1"/>
  <c r="J34" i="2" a="1"/>
  <c r="J34" i="2" s="1"/>
  <c r="I34" i="2" a="1"/>
  <c r="I34" i="2" s="1"/>
  <c r="J33" i="2" a="1"/>
  <c r="J33" i="2" s="1"/>
  <c r="I33" i="2" a="1"/>
  <c r="I33" i="2" s="1"/>
  <c r="J32" i="2" a="1"/>
  <c r="J32" i="2" s="1"/>
  <c r="I32" i="2" a="1"/>
  <c r="I32" i="2" s="1"/>
  <c r="J31" i="2" a="1"/>
  <c r="J31" i="2" s="1"/>
  <c r="I31" i="2" a="1"/>
  <c r="I31" i="2" s="1"/>
  <c r="J30" i="2" a="1"/>
  <c r="J30" i="2" s="1"/>
  <c r="I30" i="2" a="1"/>
  <c r="I30" i="2" s="1"/>
  <c r="J29" i="2" a="1"/>
  <c r="J29" i="2" s="1"/>
  <c r="I29" i="2" a="1"/>
  <c r="I29" i="2" s="1"/>
  <c r="J28" i="2" a="1"/>
  <c r="J28" i="2" s="1"/>
  <c r="I28" i="2" a="1"/>
  <c r="I28" i="2" s="1"/>
  <c r="J27" i="2" a="1"/>
  <c r="J27" i="2" s="1"/>
  <c r="I27" i="2" a="1"/>
  <c r="I27" i="2" s="1"/>
  <c r="J26" i="2" a="1"/>
  <c r="J26" i="2" s="1"/>
  <c r="I26" i="2" a="1"/>
  <c r="I26" i="2" s="1"/>
  <c r="J25" i="2" a="1"/>
  <c r="J25" i="2" s="1"/>
  <c r="I25" i="2" a="1"/>
  <c r="I25" i="2" s="1"/>
  <c r="J24" i="2" a="1"/>
  <c r="J24" i="2" s="1"/>
  <c r="I24" i="2" a="1"/>
  <c r="I24" i="2" s="1"/>
  <c r="J23" i="2" a="1"/>
  <c r="J23" i="2" s="1"/>
  <c r="I23" i="2" a="1"/>
  <c r="I23" i="2" s="1"/>
  <c r="J22" i="2" a="1"/>
  <c r="J22" i="2" s="1"/>
  <c r="I22" i="2" a="1"/>
  <c r="I22" i="2" s="1"/>
  <c r="J21" i="2" a="1"/>
  <c r="J21" i="2" s="1"/>
  <c r="I21" i="2" a="1"/>
  <c r="I21" i="2" s="1"/>
  <c r="J20" i="2" a="1"/>
  <c r="J20" i="2" s="1"/>
  <c r="I20" i="2" a="1"/>
  <c r="I20" i="2" s="1"/>
  <c r="J19" i="2" a="1"/>
  <c r="J19" i="2" s="1"/>
  <c r="I19" i="2" a="1"/>
  <c r="I19" i="2" s="1"/>
  <c r="J18" i="2" a="1"/>
  <c r="J18" i="2" s="1"/>
  <c r="I18" i="2" a="1"/>
  <c r="I18" i="2" s="1"/>
  <c r="J17" i="2" a="1"/>
  <c r="J17" i="2" s="1"/>
  <c r="I17" i="2" a="1"/>
  <c r="I17" i="2" s="1"/>
  <c r="J16" i="2" a="1"/>
  <c r="J16" i="2" s="1"/>
  <c r="I16" i="2" a="1"/>
  <c r="I16" i="2" s="1"/>
  <c r="J15" i="2" a="1"/>
  <c r="J15" i="2" s="1"/>
  <c r="I15" i="2" a="1"/>
  <c r="I15" i="2" s="1"/>
  <c r="J14" i="2" a="1"/>
  <c r="J14" i="2" s="1"/>
  <c r="I14" i="2" a="1"/>
  <c r="I14" i="2" s="1"/>
  <c r="J13" i="2" a="1"/>
  <c r="J13" i="2" s="1"/>
  <c r="I13" i="2" a="1"/>
  <c r="I13" i="2" s="1"/>
  <c r="J12" i="2" a="1"/>
  <c r="J12" i="2" s="1"/>
  <c r="I12" i="2" a="1"/>
  <c r="I12" i="2" s="1"/>
  <c r="J11" i="2" a="1"/>
  <c r="J11" i="2" s="1"/>
  <c r="I11" i="2" a="1"/>
  <c r="I11" i="2" s="1"/>
  <c r="J10" i="2" a="1"/>
  <c r="J10" i="2" s="1"/>
  <c r="I10" i="2" a="1"/>
  <c r="I10" i="2" s="1"/>
  <c r="J9" i="2" a="1"/>
  <c r="J9" i="2" s="1"/>
  <c r="I9" i="2" a="1"/>
  <c r="I9" i="2" s="1"/>
  <c r="J8" i="2" a="1"/>
  <c r="J8" i="2" s="1"/>
  <c r="I8" i="2" a="1"/>
  <c r="I8" i="2" s="1"/>
  <c r="J7" i="2" a="1"/>
  <c r="J7" i="2" s="1"/>
  <c r="I7" i="2" a="1"/>
  <c r="I7" i="2" s="1"/>
  <c r="J6" i="2" a="1"/>
  <c r="J6" i="2" s="1"/>
  <c r="I6" i="2" a="1"/>
  <c r="I6" i="2" s="1"/>
  <c r="J5" i="2" a="1"/>
  <c r="J5" i="2" s="1"/>
  <c r="I5" i="2" a="1"/>
  <c r="I5" i="2" s="1"/>
  <c r="J4" i="2" a="1"/>
  <c r="J4" i="2" s="1"/>
  <c r="I4" i="2" a="1"/>
  <c r="I4" i="2" s="1"/>
  <c r="J3" i="2" a="1"/>
  <c r="J3" i="2" s="1"/>
  <c r="I3" i="2" a="1"/>
  <c r="I3" i="2" s="1"/>
  <c r="J2" i="2" a="1"/>
  <c r="J2" i="2" s="1"/>
  <c r="I2" i="2" a="1"/>
  <c r="I2" i="2" s="1"/>
  <c r="N6" i="9"/>
  <c r="D83"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<sst xmlns="http://schemas.openxmlformats.org/spreadsheetml/2006/main" count="1930" uniqueCount="383">
  <si>
    <t>Index</t>
  </si>
  <si>
    <t>Employee_ID</t>
  </si>
  <si>
    <t>Age</t>
  </si>
  <si>
    <t>Department</t>
  </si>
  <si>
    <t>Is_Manager</t>
  </si>
  <si>
    <t>Join_Date</t>
  </si>
  <si>
    <t>Experience</t>
  </si>
  <si>
    <t>Salary</t>
  </si>
  <si>
    <t>Finance</t>
  </si>
  <si>
    <t>24-03-94</t>
  </si>
  <si>
    <t>Sales</t>
  </si>
  <si>
    <t>Marketing</t>
  </si>
  <si>
    <t>25-09-98</t>
  </si>
  <si>
    <t>HR</t>
  </si>
  <si>
    <t>23-11-11</t>
  </si>
  <si>
    <t>28-09-83</t>
  </si>
  <si>
    <t>22-01-21</t>
  </si>
  <si>
    <t>IT</t>
  </si>
  <si>
    <t>22-04-15</t>
  </si>
  <si>
    <t>17-11-04</t>
  </si>
  <si>
    <t>22-03-01</t>
  </si>
  <si>
    <t>23-11-23</t>
  </si>
  <si>
    <t>13-05-73</t>
  </si>
  <si>
    <t>31-10-09</t>
  </si>
  <si>
    <t>29-07-13</t>
  </si>
  <si>
    <t>13-02-85</t>
  </si>
  <si>
    <t>13-03-09</t>
  </si>
  <si>
    <t>20-03-96</t>
  </si>
  <si>
    <t>13-02-72</t>
  </si>
  <si>
    <t>13-01-76</t>
  </si>
  <si>
    <t>22-07-94</t>
  </si>
  <si>
    <t>15-11-72</t>
  </si>
  <si>
    <t>28-09-71</t>
  </si>
  <si>
    <t>17-09-88</t>
  </si>
  <si>
    <t>23-06-77</t>
  </si>
  <si>
    <t>16-09-94</t>
  </si>
  <si>
    <t>20-02-74</t>
  </si>
  <si>
    <t>21-04-22</t>
  </si>
  <si>
    <t>14-01-00</t>
  </si>
  <si>
    <t>15-04-75</t>
  </si>
  <si>
    <t>18-12-94</t>
  </si>
  <si>
    <t>22-10-87</t>
  </si>
  <si>
    <t>21-05-74</t>
  </si>
  <si>
    <t>20-06-87</t>
  </si>
  <si>
    <t>19-10-76</t>
  </si>
  <si>
    <t>18-09-08</t>
  </si>
  <si>
    <t>21-08-04</t>
  </si>
  <si>
    <t>24-09-08</t>
  </si>
  <si>
    <t>25-06-05</t>
  </si>
  <si>
    <t>25-05-00</t>
  </si>
  <si>
    <t>21-06-02</t>
  </si>
  <si>
    <t>28-01-97</t>
  </si>
  <si>
    <t>24-03-97</t>
  </si>
  <si>
    <t>16-12-22</t>
  </si>
  <si>
    <t>23-02-71</t>
  </si>
  <si>
    <t>29-02-80</t>
  </si>
  <si>
    <t>16-06-13</t>
  </si>
  <si>
    <t>24-11-12</t>
  </si>
  <si>
    <t>21-07-76</t>
  </si>
  <si>
    <t>26-09-08</t>
  </si>
  <si>
    <t>13-04-97</t>
  </si>
  <si>
    <t>21-05-04</t>
  </si>
  <si>
    <t>15-11-20</t>
  </si>
  <si>
    <t>21-07-89</t>
  </si>
  <si>
    <t>31-12-81</t>
  </si>
  <si>
    <t>28-04-06</t>
  </si>
  <si>
    <t>21-12-13</t>
  </si>
  <si>
    <t>18-09-23</t>
  </si>
  <si>
    <t>13-01-25</t>
  </si>
  <si>
    <t>29-08-85</t>
  </si>
  <si>
    <t>13-07-13</t>
  </si>
  <si>
    <t>21-04-91</t>
  </si>
  <si>
    <t>24-09-75</t>
  </si>
  <si>
    <t>27-06-97</t>
  </si>
  <si>
    <t>20-11-96</t>
  </si>
  <si>
    <t>21-08-78</t>
  </si>
  <si>
    <t>20-08-02</t>
  </si>
  <si>
    <t>23-10-78</t>
  </si>
  <si>
    <t>24-10-06</t>
  </si>
  <si>
    <t>14-05-06</t>
  </si>
  <si>
    <t>26-12-17</t>
  </si>
  <si>
    <t>29-08-84</t>
  </si>
  <si>
    <t>20-04-18</t>
  </si>
  <si>
    <t>17-09-16</t>
  </si>
  <si>
    <t>26-03-83</t>
  </si>
  <si>
    <t>25-08-83</t>
  </si>
  <si>
    <t>17-04-14</t>
  </si>
  <si>
    <t>23-02-08</t>
  </si>
  <si>
    <t>27-10-75</t>
  </si>
  <si>
    <t>29-03-98</t>
  </si>
  <si>
    <t>13-09-91</t>
  </si>
  <si>
    <t>13-12-17</t>
  </si>
  <si>
    <t>18-03-00</t>
  </si>
  <si>
    <t>17-08-78</t>
  </si>
  <si>
    <t>16-05-71</t>
  </si>
  <si>
    <t>29-01-05</t>
  </si>
  <si>
    <t>19-04-84</t>
  </si>
  <si>
    <t>28-03-97</t>
  </si>
  <si>
    <t>24-09-77</t>
  </si>
  <si>
    <t>21-08-73</t>
  </si>
  <si>
    <t>18-12-09</t>
  </si>
  <si>
    <t>25-11-77</t>
  </si>
  <si>
    <t>27-09-06</t>
  </si>
  <si>
    <t>21-05-72</t>
  </si>
  <si>
    <t>27-09-08</t>
  </si>
  <si>
    <t>26-07-83</t>
  </si>
  <si>
    <t>19-12-82</t>
  </si>
  <si>
    <t>31-05-97</t>
  </si>
  <si>
    <t>29-09-95</t>
  </si>
  <si>
    <t>17-01-91</t>
  </si>
  <si>
    <t>13-03-04</t>
  </si>
  <si>
    <t>28-01-05</t>
  </si>
  <si>
    <t>20-09-18</t>
  </si>
  <si>
    <t>21-07-02</t>
  </si>
  <si>
    <t>25-06-88</t>
  </si>
  <si>
    <t>13-12-93</t>
  </si>
  <si>
    <t>25-04-95</t>
  </si>
  <si>
    <t>28-03-07</t>
  </si>
  <si>
    <t>31-08-74</t>
  </si>
  <si>
    <t>27-05-81</t>
  </si>
  <si>
    <t>21-06-12</t>
  </si>
  <si>
    <t>27-05-13</t>
  </si>
  <si>
    <t>26-04-22</t>
  </si>
  <si>
    <t>21-02-81</t>
  </si>
  <si>
    <t>28-09-23</t>
  </si>
  <si>
    <t>19-12-89</t>
  </si>
  <si>
    <t>24-12-13</t>
  </si>
  <si>
    <t>14-10-91</t>
  </si>
  <si>
    <t>21-11-76</t>
  </si>
  <si>
    <t>13-02-09</t>
  </si>
  <si>
    <t>16-06-23</t>
  </si>
  <si>
    <t>28-04-18</t>
  </si>
  <si>
    <t>16-03-24</t>
  </si>
  <si>
    <t>24-03-99</t>
  </si>
  <si>
    <t>23-05-23</t>
  </si>
  <si>
    <t>24-11-80</t>
  </si>
  <si>
    <t>17-01-99</t>
  </si>
  <si>
    <t>18-07-78</t>
  </si>
  <si>
    <t>17-02-22</t>
  </si>
  <si>
    <t>16-04-03</t>
  </si>
  <si>
    <t>29-07-76</t>
  </si>
  <si>
    <t>17-07-20</t>
  </si>
  <si>
    <t>22-09-07</t>
  </si>
  <si>
    <t>24-02-88</t>
  </si>
  <si>
    <t>18-06-10</t>
  </si>
  <si>
    <t>15-07-72</t>
  </si>
  <si>
    <t>22-04-81</t>
  </si>
  <si>
    <t>27-12-74</t>
  </si>
  <si>
    <t>17-02-79</t>
  </si>
  <si>
    <t>26-06-06</t>
  </si>
  <si>
    <t>29-09-25</t>
  </si>
  <si>
    <t>26-06-91</t>
  </si>
  <si>
    <t>27-01-94</t>
  </si>
  <si>
    <t>17-02-83</t>
  </si>
  <si>
    <t>14-09-08</t>
  </si>
  <si>
    <t>19-07-96</t>
  </si>
  <si>
    <t>15-09-02</t>
  </si>
  <si>
    <t>13-11-09</t>
  </si>
  <si>
    <t>17-09-10</t>
  </si>
  <si>
    <t>26-03-91</t>
  </si>
  <si>
    <t>27-02-89</t>
  </si>
  <si>
    <t>14-01-79</t>
  </si>
  <si>
    <t>27-07-70</t>
  </si>
  <si>
    <t>19-11-23</t>
  </si>
  <si>
    <t>19-07-15</t>
  </si>
  <si>
    <t>21-09-70</t>
  </si>
  <si>
    <t>19-05-10</t>
  </si>
  <si>
    <t>27-04-05</t>
  </si>
  <si>
    <t>20-12-73</t>
  </si>
  <si>
    <t>21-04-93</t>
  </si>
  <si>
    <t>27-11-87</t>
  </si>
  <si>
    <t>28-10-19</t>
  </si>
  <si>
    <t>15-02-99</t>
  </si>
  <si>
    <t>25-07-22</t>
  </si>
  <si>
    <t>23-06-04</t>
  </si>
  <si>
    <t>23-02-22</t>
  </si>
  <si>
    <t>26-02-70</t>
  </si>
  <si>
    <t>31-12-98</t>
  </si>
  <si>
    <t>22-03-07</t>
  </si>
  <si>
    <t>22-05-90</t>
  </si>
  <si>
    <t>13-10-09</t>
  </si>
  <si>
    <t>25-06-99</t>
  </si>
  <si>
    <t>29-07-23</t>
  </si>
  <si>
    <t>28-07-79</t>
  </si>
  <si>
    <t>29-06-98</t>
  </si>
  <si>
    <t>23-10-13</t>
  </si>
  <si>
    <t>27-11-80</t>
  </si>
  <si>
    <t>14-10-06</t>
  </si>
  <si>
    <t>29-05-94</t>
  </si>
  <si>
    <t>31-03-70</t>
  </si>
  <si>
    <t>14-11-08</t>
  </si>
  <si>
    <t>17-11-22</t>
  </si>
  <si>
    <t>24-03-05</t>
  </si>
  <si>
    <t>31-07-98</t>
  </si>
  <si>
    <t>31-05-84</t>
  </si>
  <si>
    <t>24-10-18</t>
  </si>
  <si>
    <t>16-03-10</t>
  </si>
  <si>
    <t>22-04-07</t>
  </si>
  <si>
    <t>22-10-83</t>
  </si>
  <si>
    <t>26-04-94</t>
  </si>
  <si>
    <t>22-10-08</t>
  </si>
  <si>
    <t>26-07-19</t>
  </si>
  <si>
    <t>19-08-11</t>
  </si>
  <si>
    <t>23-08-02</t>
  </si>
  <si>
    <t>26-12-16</t>
  </si>
  <si>
    <t>30-05-97</t>
  </si>
  <si>
    <t>28-05-09</t>
  </si>
  <si>
    <t>23-11-97</t>
  </si>
  <si>
    <t>23-03-85</t>
  </si>
  <si>
    <t>16-07-00</t>
  </si>
  <si>
    <t>14-11-90</t>
  </si>
  <si>
    <t>19-09-70</t>
  </si>
  <si>
    <t>13-10-17</t>
  </si>
  <si>
    <t>25-02-20</t>
  </si>
  <si>
    <t>17-06-99</t>
  </si>
  <si>
    <t>26-04-81</t>
  </si>
  <si>
    <t>17-11-21</t>
  </si>
  <si>
    <t>16-03-96</t>
  </si>
  <si>
    <t>23-02-99</t>
  </si>
  <si>
    <t>22-12-83</t>
  </si>
  <si>
    <t>14-11-75</t>
  </si>
  <si>
    <t>29-08-12</t>
  </si>
  <si>
    <t>30-04-14</t>
  </si>
  <si>
    <t>24-08-98</t>
  </si>
  <si>
    <t>31-03-72</t>
  </si>
  <si>
    <t>29-10-92</t>
  </si>
  <si>
    <t>16-07-17</t>
  </si>
  <si>
    <t>31-08-10</t>
  </si>
  <si>
    <t>25-09-88</t>
  </si>
  <si>
    <t>29-09-89</t>
  </si>
  <si>
    <t>14-07-98</t>
  </si>
  <si>
    <t>14-06-95</t>
  </si>
  <si>
    <t>29-06-20</t>
  </si>
  <si>
    <t>13-06-90</t>
  </si>
  <si>
    <t>18-12-12</t>
  </si>
  <si>
    <t>22-05-20</t>
  </si>
  <si>
    <t>27-05-00</t>
  </si>
  <si>
    <t>22-11-91</t>
  </si>
  <si>
    <t>21-03-80</t>
  </si>
  <si>
    <t>16-05-16</t>
  </si>
  <si>
    <t>21-10-15</t>
  </si>
  <si>
    <t>26-04-14</t>
  </si>
  <si>
    <t>15-08-77</t>
  </si>
  <si>
    <t>28-03-88</t>
  </si>
  <si>
    <t>24-11-73</t>
  </si>
  <si>
    <t>16-04-18</t>
  </si>
  <si>
    <t>23-08-17</t>
  </si>
  <si>
    <t>24-01-87</t>
  </si>
  <si>
    <t>29-07-03</t>
  </si>
  <si>
    <t>26-11-84</t>
  </si>
  <si>
    <t>18-12-76</t>
  </si>
  <si>
    <t>13-07-76</t>
  </si>
  <si>
    <t>16-05-04</t>
  </si>
  <si>
    <t>27-10-86</t>
  </si>
  <si>
    <t>27-03-02</t>
  </si>
  <si>
    <t>25-01-09</t>
  </si>
  <si>
    <t>21-04-18</t>
  </si>
  <si>
    <t>19-11-80</t>
  </si>
  <si>
    <t>15-05-93</t>
  </si>
  <si>
    <t>16-05-75</t>
  </si>
  <si>
    <t>16-10-11</t>
  </si>
  <si>
    <t>19-04-03</t>
  </si>
  <si>
    <t>21-12-99</t>
  </si>
  <si>
    <t>29-02-12</t>
  </si>
  <si>
    <t>28-02-94</t>
  </si>
  <si>
    <t>24-11-15</t>
  </si>
  <si>
    <t>22-02-10</t>
  </si>
  <si>
    <t>20-04-06</t>
  </si>
  <si>
    <t>16-08-98</t>
  </si>
  <si>
    <t>14-05-87</t>
  </si>
  <si>
    <t>30-05-21</t>
  </si>
  <si>
    <t>13-07-78</t>
  </si>
  <si>
    <t>22-06-18</t>
  </si>
  <si>
    <t>29-11-85</t>
  </si>
  <si>
    <t>14-09-72</t>
  </si>
  <si>
    <t>27-06-93</t>
  </si>
  <si>
    <t>17-12-18</t>
  </si>
  <si>
    <t>15-10-00</t>
  </si>
  <si>
    <t>24-05-72</t>
  </si>
  <si>
    <t>23-01-97</t>
  </si>
  <si>
    <t>26-10-97</t>
  </si>
  <si>
    <t>18-08-04</t>
  </si>
  <si>
    <t>14-06-07</t>
  </si>
  <si>
    <t>16-08-06</t>
  </si>
  <si>
    <t>15-08-11</t>
  </si>
  <si>
    <t>28-10-23</t>
  </si>
  <si>
    <t>20-05-84</t>
  </si>
  <si>
    <t>20-11-95</t>
  </si>
  <si>
    <t>23-08-98</t>
  </si>
  <si>
    <t>24-03-88</t>
  </si>
  <si>
    <t>24-06-82</t>
  </si>
  <si>
    <t>21-10-76</t>
  </si>
  <si>
    <t>25-09-02</t>
  </si>
  <si>
    <t>17-08-06</t>
  </si>
  <si>
    <t>23-04-74</t>
  </si>
  <si>
    <t>26-05-25</t>
  </si>
  <si>
    <t>28-11-86</t>
  </si>
  <si>
    <t>28-08-74</t>
  </si>
  <si>
    <t>17-07-11</t>
  </si>
  <si>
    <t>30-11-11</t>
  </si>
  <si>
    <t>27-03-73</t>
  </si>
  <si>
    <t>27-10-94</t>
  </si>
  <si>
    <t>13-08-71</t>
  </si>
  <si>
    <t>15-11-18</t>
  </si>
  <si>
    <t>29-07-87</t>
  </si>
  <si>
    <t>14-04-01</t>
  </si>
  <si>
    <t>27-05-74</t>
  </si>
  <si>
    <t>22-11-75</t>
  </si>
  <si>
    <t>24-10-93</t>
  </si>
  <si>
    <t>17-01-73</t>
  </si>
  <si>
    <t>30-05-14</t>
  </si>
  <si>
    <t>22-04-25</t>
  </si>
  <si>
    <t>13-01-70</t>
  </si>
  <si>
    <t>21-06-88</t>
  </si>
  <si>
    <t>Age Group</t>
  </si>
  <si>
    <t>Salary Group</t>
  </si>
  <si>
    <t>Not Manager</t>
  </si>
  <si>
    <t>Manager</t>
  </si>
  <si>
    <t>2. How many Employees are Managers and Non-Mangers?</t>
  </si>
  <si>
    <t>1. Which Department has the Highest Number of Employees?</t>
  </si>
  <si>
    <t>Row Labels</t>
  </si>
  <si>
    <t>Grand Total</t>
  </si>
  <si>
    <t>Count of Index</t>
  </si>
  <si>
    <t>Average of Salary</t>
  </si>
  <si>
    <t>C</t>
  </si>
  <si>
    <t>Column Labels</t>
  </si>
  <si>
    <t>30-50</t>
  </si>
  <si>
    <t>50+</t>
  </si>
  <si>
    <t>Under 30</t>
  </si>
  <si>
    <t>1-2 Lakhs</t>
  </si>
  <si>
    <t>2 Lakhs +</t>
  </si>
  <si>
    <t>Below 1 Lakhs</t>
  </si>
  <si>
    <t>3. What is the Average Work Experience of the Employees?</t>
  </si>
  <si>
    <t>1. What is the Highest Salary Of Employee?</t>
  </si>
  <si>
    <t>2. How many Employees are from the HR Department and are Manager?</t>
  </si>
  <si>
    <t>Questions</t>
  </si>
  <si>
    <t>Analysis Questions</t>
  </si>
  <si>
    <t>5. How many Employees is are there in each Salary Range?</t>
  </si>
  <si>
    <t>4. How many Employees is are there in each Age Group?</t>
  </si>
  <si>
    <t>3. What is the Average Salary of Each Department?</t>
  </si>
  <si>
    <t>4. What is the Average Salary of Employees?</t>
  </si>
  <si>
    <t>Ans</t>
  </si>
  <si>
    <t>Sum of Salary</t>
  </si>
  <si>
    <t>Change</t>
  </si>
  <si>
    <t>What was done</t>
  </si>
  <si>
    <t>Why</t>
  </si>
  <si>
    <t>Index Number</t>
  </si>
  <si>
    <t>Changed index from 0 to 1 numbering ,convert datatype into number</t>
  </si>
  <si>
    <t>Convert datatype into number</t>
  </si>
  <si>
    <t>To ensure age can be correctly for calculation and analysis</t>
  </si>
  <si>
    <t>Join date</t>
  </si>
  <si>
    <t>Convert datatype into short date</t>
  </si>
  <si>
    <t>Enable date/year analysis</t>
  </si>
  <si>
    <t>To enable calculation and analysis</t>
  </si>
  <si>
    <t>Convert datatype into currency</t>
  </si>
  <si>
    <t>Easier to read salary values</t>
  </si>
  <si>
    <t>Add  Age Group</t>
  </si>
  <si>
    <t>Added age categories</t>
  </si>
  <si>
    <t>Simplify  age group analysis</t>
  </si>
  <si>
    <t>Added salary category</t>
  </si>
  <si>
    <t>Simplify salary range analysis</t>
  </si>
  <si>
    <t>Check</t>
  </si>
  <si>
    <t>Checked for duplicate records,no duplicates were found</t>
  </si>
  <si>
    <t>Ensure data is unique and accurate</t>
  </si>
  <si>
    <t>Add Salary Group</t>
  </si>
  <si>
    <t>Is Manager</t>
  </si>
  <si>
    <t>Convert True or False to Manager or Non-Manager</t>
  </si>
  <si>
    <t>To Easy to Understand</t>
  </si>
  <si>
    <t>Easier to Understand</t>
  </si>
  <si>
    <t>EMPLOYEES DATA DASHBOARD</t>
  </si>
  <si>
    <t>FINDINGS</t>
  </si>
  <si>
    <t>RECOMMENDATION</t>
  </si>
  <si>
    <t>IT has the highest number of employees, while HR and Marketing have fewer employees.</t>
  </si>
  <si>
    <t>Review staffing levels and provide additional employees to departments if needed.</t>
  </si>
  <si>
    <t>The number of managers and non-managers is slightly different.</t>
  </si>
  <si>
    <t>Review the manager-to-employee ratio to maintain an effective management structure.</t>
  </si>
  <si>
    <t>Provide suitable training and career development opportunities based on the workforce age distribution.</t>
  </si>
  <si>
    <t>Review salary distribution based on employees roles and experience.</t>
  </si>
  <si>
    <t>The 30–50 age group has the highest number of employees (265), while the under 30 age group has the lowest (77).</t>
  </si>
  <si>
    <t>The ₹1–2 Lakh salary range has the highest number of employees (297), while Below ₹1 Lakh has the lowest (48).</t>
  </si>
  <si>
    <t>Marketing has the highest number of employees, while Sales have fewer employees.</t>
  </si>
  <si>
    <t xml:space="preserve">increase sales staffing to improve sales performance and balance the workforce. </t>
  </si>
  <si>
    <t>Average of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</si>
</sst>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4C]#,##0.00"/>
    <numFmt numFmtId="165" formatCode="[$₹-44C]#,##0"/>
    <numFmt numFmtId="166" formatCode="yyyy\-mm\-dd;@"/>
    <numFmt numFmtId="167" formatCode="[$₹-458]\ #,##0.00"/>
    <numFmt numFmtId="168" formatCode="_-[$₹-44C]* #,##0.00_-;\-[$₹-44C]* #,##0.00_-;_-[$₹-44C]* &quot;-&quot;??_-;_-@_-"/>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Agency FB"/>
      <family val="2"/>
    </font>
    <font>
      <b/>
      <sz val="48"/>
      <color theme="4" tint="0.39997558519241921"/>
      <name val="Agency FB"/>
      <family val="2"/>
    </font>
    <font>
      <sz val="11"/>
      <color theme="4" tint="0.39997558519241921"/>
      <name val="Calibri"/>
      <family val="2"/>
      <scheme val="minor"/>
    </font>
    <font>
      <b/>
      <sz val="11"/>
      <color theme="4" tint="0.59999389629810485"/>
      <name val="Algerian"/>
      <family val="5"/>
    </font>
    <font>
      <sz val="11"/>
      <color theme="4" tint="0.59999389629810485"/>
      <name val="Agency FB"/>
      <family val="2"/>
    </font>
    <font>
      <sz val="11"/>
      <color theme="1"/>
      <name val="Agency FB"/>
      <family val="2"/>
    </font>
    <font>
      <sz val="11"/>
      <color theme="0" tint="-4.9989318521683403E-2"/>
      <name val="Agency FB"/>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theme="1" tint="0.499984740745262"/>
        <bgColor indexed="64"/>
      </patternFill>
    </fill>
    <fill>
      <patternFill patternType="solid">
        <fgColor theme="4"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14" fontId="0" fillId="0" borderId="0" xfId="0" applyNumberFormat="1"/>
    <xf numFmtId="164" fontId="0" fillId="0" borderId="0" xfId="0" applyNumberFormat="1"/>
    <xf numFmtId="165" fontId="0" fillId="0" borderId="0" xfId="0" applyNumberFormat="1"/>
    <xf numFmtId="166" fontId="0" fillId="0" borderId="0" xfId="0" applyNumberFormat="1"/>
    <xf numFmtId="0" fontId="18" fillId="33" borderId="10" xfId="0" applyFont="1" applyFill="1" applyBorder="1"/>
    <xf numFmtId="0" fontId="0" fillId="34" borderId="10" xfId="0" applyFill="1" applyBorder="1"/>
    <xf numFmtId="164" fontId="18" fillId="33" borderId="10" xfId="0" applyNumberFormat="1" applyFont="1" applyFill="1" applyBorder="1"/>
    <xf numFmtId="164" fontId="0" fillId="34" borderId="10" xfId="0" applyNumberFormat="1" applyFill="1" applyBorder="1"/>
    <xf numFmtId="166" fontId="18" fillId="33" borderId="10" xfId="0" applyNumberFormat="1" applyFont="1" applyFill="1" applyBorder="1"/>
    <xf numFmtId="166" fontId="0" fillId="34" borderId="10" xfId="0" applyNumberFormat="1" applyFill="1" applyBorder="1"/>
    <xf numFmtId="1" fontId="18" fillId="33" borderId="10" xfId="0" applyNumberFormat="1" applyFont="1" applyFill="1" applyBorder="1"/>
    <xf numFmtId="1" fontId="0" fillId="34" borderId="10" xfId="0" applyNumberFormat="1" applyFill="1" applyBorder="1"/>
    <xf numFmtId="1" fontId="0" fillId="0" borderId="0" xfId="0" applyNumberFormat="1"/>
    <xf numFmtId="0" fontId="0" fillId="0" borderId="0" xfId="0" pivotButton="1"/>
    <xf numFmtId="0" fontId="0" fillId="0" borderId="0" xfId="0" applyAlignment="1">
      <alignment horizontal="left"/>
    </xf>
    <xf numFmtId="0" fontId="13" fillId="37" borderId="0" xfId="0" applyFont="1" applyFill="1"/>
    <xf numFmtId="0" fontId="17" fillId="37" borderId="0" xfId="0" applyFont="1" applyFill="1"/>
    <xf numFmtId="0" fontId="13" fillId="37" borderId="10" xfId="0" applyFont="1" applyFill="1" applyBorder="1"/>
    <xf numFmtId="0" fontId="17" fillId="37" borderId="10" xfId="0" applyFont="1" applyFill="1" applyBorder="1"/>
    <xf numFmtId="0" fontId="21" fillId="35" borderId="10" xfId="0" applyFont="1" applyFill="1" applyBorder="1"/>
    <xf numFmtId="0" fontId="22" fillId="35" borderId="10" xfId="0" applyFont="1" applyFill="1" applyBorder="1"/>
    <xf numFmtId="0" fontId="23" fillId="0" borderId="0" xfId="0" applyFont="1"/>
    <xf numFmtId="167" fontId="17" fillId="37" borderId="10" xfId="0" applyNumberFormat="1" applyFont="1" applyFill="1" applyBorder="1"/>
    <xf numFmtId="168" fontId="17" fillId="37" borderId="10" xfId="0" applyNumberFormat="1" applyFont="1" applyFill="1" applyBorder="1"/>
    <xf numFmtId="0" fontId="0" fillId="35" borderId="0" xfId="0" applyFill="1"/>
    <xf numFmtId="0" fontId="17" fillId="35" borderId="10" xfId="0" applyFont="1" applyFill="1" applyBorder="1"/>
    <xf numFmtId="0" fontId="17" fillId="38" borderId="10" xfId="0" applyFont="1" applyFill="1" applyBorder="1"/>
    <xf numFmtId="0" fontId="19" fillId="35" borderId="0" xfId="0" applyFont="1" applyFill="1" applyAlignment="1">
      <alignment horizontal="center"/>
    </xf>
    <xf numFmtId="0" fontId="20" fillId="35" borderId="0" xfId="0" applyFont="1" applyFill="1" applyAlignment="1">
      <alignment horizontal="center"/>
    </xf>
    <xf numFmtId="0" fontId="24" fillId="36" borderId="0" xfId="0" applyFont="1" applyFill="1" applyAlignment="1">
      <alignment horizontal="center"/>
    </xf>
    <xf numFmtId="0" fontId="0" fillId="36"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4">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ill>
        <patternFill>
          <bgColor theme="0" tint="-0.14996795556505021"/>
        </patternFill>
      </fill>
    </dxf>
    <dxf>
      <font>
        <b/>
        <i val="0"/>
        <color theme="4" tint="0.39994506668294322"/>
        <name val="Agency FB"/>
        <family val="2"/>
        <scheme val="none"/>
      </font>
      <fill>
        <patternFill>
          <bgColor theme="4" tint="-0.24994659260841701"/>
        </patternFill>
      </fill>
    </dxf>
  </dxfs>
  <tableStyles count="1" defaultTableStyle="TableStyleMedium2" defaultPivotStyle="PivotStyleLight16">
    <tableStyle name="Slicer Style 1" pivot="0" table="0" count="7" xr9:uid="{16C10441-CFDD-430F-9F31-D366FD2EE93A}">
      <tableStyleElement type="wholeTable" dxfId="83"/>
      <tableStyleElement type="headerRow" dxfId="82"/>
    </tableStyle>
  </tableStyles>
  <extLst>
    <ext xmlns:x14="http://schemas.microsoft.com/office/spreadsheetml/2009/9/main" uri="{46F421CA-312F-682f-3DD2-61675219B42D}">
      <x14:dxfs count="5">
        <dxf>
          <fill>
            <patternFill>
              <bgColor theme="4" tint="0.39994506668294322"/>
            </patternFill>
          </fill>
        </dxf>
        <dxf>
          <fill>
            <patternFill>
              <bgColor theme="4" tint="0.59996337778862885"/>
            </patternFill>
          </fill>
        </dxf>
        <dxf>
          <fill>
            <patternFill>
              <bgColor theme="4" tint="-0.499984740745262"/>
            </patternFill>
          </fill>
        </dxf>
        <dxf>
          <fill>
            <patternFill>
              <bgColor theme="4" tint="0.59996337778862885"/>
            </patternFill>
          </fill>
        </dxf>
        <dxf>
          <fill>
            <patternFill>
              <bgColor theme="4"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employee_data .xlsx]Charts!PivotTable1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Charts!$B$3</c:f>
              <c:strCache>
                <c:ptCount val="1"/>
                <c:pt idx="0">
                  <c:v>Total</c:v>
                </c:pt>
              </c:strCache>
            </c:strRef>
          </c:tx>
          <c:spPr>
            <a:solidFill>
              <a:schemeClr val="accent1"/>
            </a:solidFill>
            <a:ln>
              <a:noFill/>
            </a:ln>
            <a:effectLst/>
            <a:sp3d/>
          </c:spPr>
          <c:invertIfNegative val="0"/>
          <c:cat>
            <c:strRef>
              <c:f>Charts!$A$4:$A$9</c:f>
              <c:strCache>
                <c:ptCount val="5"/>
                <c:pt idx="0">
                  <c:v>Finance</c:v>
                </c:pt>
                <c:pt idx="1">
                  <c:v>HR</c:v>
                </c:pt>
                <c:pt idx="2">
                  <c:v>IT</c:v>
                </c:pt>
                <c:pt idx="3">
                  <c:v>Marketing</c:v>
                </c:pt>
                <c:pt idx="4">
                  <c:v>Sales</c:v>
                </c:pt>
              </c:strCache>
            </c:strRef>
          </c:cat>
          <c:val>
            <c:numRef>
              <c:f>Charts!$B$4:$B$9</c:f>
              <c:numCache>
                <c:formatCode>General</c:formatCode>
                <c:ptCount val="5"/>
                <c:pt idx="0">
                  <c:v>57</c:v>
                </c:pt>
                <c:pt idx="1">
                  <c:v>41</c:v>
                </c:pt>
                <c:pt idx="2">
                  <c:v>51</c:v>
                </c:pt>
                <c:pt idx="3">
                  <c:v>48</c:v>
                </c:pt>
                <c:pt idx="4">
                  <c:v>46</c:v>
                </c:pt>
              </c:numCache>
            </c:numRef>
          </c:val>
          <c:extLst>
            <c:ext xmlns:c16="http://schemas.microsoft.com/office/drawing/2014/chart" uri="{C3380CC4-5D6E-409C-BE32-E72D297353CC}">
              <c16:uniqueId val="{00000000-B34D-47C0-B5EC-B61DB219C9F5}"/>
            </c:ext>
          </c:extLst>
        </c:ser>
        <c:dLbls>
          <c:showLegendKey val="0"/>
          <c:showVal val="0"/>
          <c:showCatName val="0"/>
          <c:showSerName val="0"/>
          <c:showPercent val="0"/>
          <c:showBubbleSize val="0"/>
        </c:dLbls>
        <c:gapWidth val="150"/>
        <c:shape val="box"/>
        <c:axId val="2119513856"/>
        <c:axId val="2119510496"/>
        <c:axId val="2117721968"/>
      </c:bar3DChart>
      <c:catAx>
        <c:axId val="2119513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510496"/>
        <c:crosses val="autoZero"/>
        <c:auto val="1"/>
        <c:lblAlgn val="ctr"/>
        <c:lblOffset val="100"/>
        <c:noMultiLvlLbl val="0"/>
      </c:catAx>
      <c:valAx>
        <c:axId val="2119510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513856"/>
        <c:crosses val="autoZero"/>
        <c:crossBetween val="between"/>
      </c:valAx>
      <c:serAx>
        <c:axId val="211772196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51049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employee_data .xlsx]Charts!PivotTable2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Charts!$B$24</c:f>
              <c:strCache>
                <c:ptCount val="1"/>
                <c:pt idx="0">
                  <c:v>Total</c:v>
                </c:pt>
              </c:strCache>
            </c:strRef>
          </c:tx>
          <c:spPr>
            <a:solidFill>
              <a:schemeClr val="accent1"/>
            </a:solidFill>
            <a:ln>
              <a:noFill/>
            </a:ln>
            <a:effectLst/>
            <a:sp3d/>
          </c:spPr>
          <c:invertIfNegative val="0"/>
          <c:cat>
            <c:strRef>
              <c:f>Charts!$A$25:$A$26</c:f>
              <c:strCache>
                <c:ptCount val="1"/>
                <c:pt idx="0">
                  <c:v>Not Manager</c:v>
                </c:pt>
              </c:strCache>
            </c:strRef>
          </c:cat>
          <c:val>
            <c:numRef>
              <c:f>Charts!$B$25:$B$26</c:f>
              <c:numCache>
                <c:formatCode>General</c:formatCode>
                <c:ptCount val="1"/>
                <c:pt idx="0">
                  <c:v>243</c:v>
                </c:pt>
              </c:numCache>
            </c:numRef>
          </c:val>
          <c:extLst>
            <c:ext xmlns:c16="http://schemas.microsoft.com/office/drawing/2014/chart" uri="{C3380CC4-5D6E-409C-BE32-E72D297353CC}">
              <c16:uniqueId val="{00000000-474F-457A-A813-D2A573972867}"/>
            </c:ext>
          </c:extLst>
        </c:ser>
        <c:dLbls>
          <c:showLegendKey val="0"/>
          <c:showVal val="0"/>
          <c:showCatName val="0"/>
          <c:showSerName val="0"/>
          <c:showPercent val="0"/>
          <c:showBubbleSize val="0"/>
        </c:dLbls>
        <c:gapWidth val="150"/>
        <c:shape val="box"/>
        <c:axId val="2128966704"/>
        <c:axId val="2120587216"/>
        <c:axId val="0"/>
      </c:bar3DChart>
      <c:catAx>
        <c:axId val="2128966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587216"/>
        <c:crosses val="autoZero"/>
        <c:auto val="1"/>
        <c:lblAlgn val="ctr"/>
        <c:lblOffset val="100"/>
        <c:noMultiLvlLbl val="0"/>
      </c:catAx>
      <c:valAx>
        <c:axId val="2120587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96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employee_data .xlsx]Charts!PivotTable3</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Charts!$B$32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E02-475E-975E-8B97CD69060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E02-475E-975E-8B97CD69060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E02-475E-975E-8B97CD69060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E02-475E-975E-8B97CD69060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E02-475E-975E-8B97CD690602}"/>
              </c:ext>
            </c:extLst>
          </c:dPt>
          <c:cat>
            <c:strRef>
              <c:f>Charts!$A$33:$A$38</c:f>
              <c:strCache>
                <c:ptCount val="5"/>
                <c:pt idx="0">
                  <c:v>Finance</c:v>
                </c:pt>
                <c:pt idx="1">
                  <c:v>HR</c:v>
                </c:pt>
                <c:pt idx="2">
                  <c:v>IT</c:v>
                </c:pt>
                <c:pt idx="3">
                  <c:v>Marketing</c:v>
                </c:pt>
                <c:pt idx="4">
                  <c:v>Sales</c:v>
                </c:pt>
              </c:strCache>
            </c:strRef>
          </c:cat>
          <c:val>
            <c:numRef>
              <c:f>Charts!$B$33:$B$38</c:f>
              <c:numCache>
                <c:formatCode>General</c:formatCode>
                <c:ptCount val="5"/>
                <c:pt idx="0">
                  <c:v>165951.91228070174</c:v>
                </c:pt>
                <c:pt idx="1">
                  <c:v>169498.46341463414</c:v>
                </c:pt>
                <c:pt idx="2">
                  <c:v>172284.29411764705</c:v>
                </c:pt>
                <c:pt idx="3">
                  <c:v>177039.1875</c:v>
                </c:pt>
                <c:pt idx="4">
                  <c:v>162194.84782608695</c:v>
                </c:pt>
              </c:numCache>
            </c:numRef>
          </c:val>
          <c:extLst>
            <c:ext xmlns:c16="http://schemas.microsoft.com/office/drawing/2014/chart" uri="{C3380CC4-5D6E-409C-BE32-E72D297353CC}">
              <c16:uniqueId val="{00000000-FA0E-44ED-B652-8843628124E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employee_data .xlsx]Charts!PivotTable4</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Charts!$B$43:$B$44</c:f>
              <c:strCache>
                <c:ptCount val="1"/>
                <c:pt idx="0">
                  <c:v>30-50</c:v>
                </c:pt>
              </c:strCache>
            </c:strRef>
          </c:tx>
          <c:spPr>
            <a:solidFill>
              <a:schemeClr val="accent1"/>
            </a:solidFill>
            <a:ln>
              <a:noFill/>
            </a:ln>
            <a:effectLst/>
            <a:sp3d/>
          </c:spPr>
          <c:invertIfNegative val="0"/>
          <c:cat>
            <c:strRef>
              <c:f>Charts!$A$45</c:f>
              <c:strCache>
                <c:ptCount val="1"/>
                <c:pt idx="0">
                  <c:v>Total</c:v>
                </c:pt>
              </c:strCache>
            </c:strRef>
          </c:cat>
          <c:val>
            <c:numRef>
              <c:f>Charts!$B$45</c:f>
              <c:numCache>
                <c:formatCode>General</c:formatCode>
                <c:ptCount val="1"/>
                <c:pt idx="0">
                  <c:v>123</c:v>
                </c:pt>
              </c:numCache>
            </c:numRef>
          </c:val>
          <c:extLst>
            <c:ext xmlns:c16="http://schemas.microsoft.com/office/drawing/2014/chart" uri="{C3380CC4-5D6E-409C-BE32-E72D297353CC}">
              <c16:uniqueId val="{00000000-BECA-42F6-A5AC-E604B24D110D}"/>
            </c:ext>
          </c:extLst>
        </c:ser>
        <c:ser>
          <c:idx val="1"/>
          <c:order val="1"/>
          <c:tx>
            <c:strRef>
              <c:f>Charts!$C$43:$C$44</c:f>
              <c:strCache>
                <c:ptCount val="1"/>
                <c:pt idx="0">
                  <c:v>50+</c:v>
                </c:pt>
              </c:strCache>
            </c:strRef>
          </c:tx>
          <c:spPr>
            <a:solidFill>
              <a:schemeClr val="accent2"/>
            </a:solidFill>
            <a:ln>
              <a:noFill/>
            </a:ln>
            <a:effectLst/>
            <a:sp3d/>
          </c:spPr>
          <c:invertIfNegative val="0"/>
          <c:cat>
            <c:strRef>
              <c:f>Charts!$A$45</c:f>
              <c:strCache>
                <c:ptCount val="1"/>
                <c:pt idx="0">
                  <c:v>Total</c:v>
                </c:pt>
              </c:strCache>
            </c:strRef>
          </c:cat>
          <c:val>
            <c:numRef>
              <c:f>Charts!$C$45</c:f>
              <c:numCache>
                <c:formatCode>General</c:formatCode>
                <c:ptCount val="1"/>
                <c:pt idx="0">
                  <c:v>81</c:v>
                </c:pt>
              </c:numCache>
            </c:numRef>
          </c:val>
          <c:extLst>
            <c:ext xmlns:c16="http://schemas.microsoft.com/office/drawing/2014/chart" uri="{C3380CC4-5D6E-409C-BE32-E72D297353CC}">
              <c16:uniqueId val="{00000013-DD29-4E8C-81C0-3E7FA02671FB}"/>
            </c:ext>
          </c:extLst>
        </c:ser>
        <c:ser>
          <c:idx val="2"/>
          <c:order val="2"/>
          <c:tx>
            <c:strRef>
              <c:f>Charts!$D$43:$D$44</c:f>
              <c:strCache>
                <c:ptCount val="1"/>
                <c:pt idx="0">
                  <c:v>Under 30</c:v>
                </c:pt>
              </c:strCache>
            </c:strRef>
          </c:tx>
          <c:spPr>
            <a:solidFill>
              <a:schemeClr val="accent3"/>
            </a:solidFill>
            <a:ln>
              <a:noFill/>
            </a:ln>
            <a:effectLst/>
            <a:sp3d/>
          </c:spPr>
          <c:invertIfNegative val="0"/>
          <c:cat>
            <c:strRef>
              <c:f>Charts!$A$45</c:f>
              <c:strCache>
                <c:ptCount val="1"/>
                <c:pt idx="0">
                  <c:v>Total</c:v>
                </c:pt>
              </c:strCache>
            </c:strRef>
          </c:cat>
          <c:val>
            <c:numRef>
              <c:f>Charts!$D$45</c:f>
              <c:numCache>
                <c:formatCode>General</c:formatCode>
                <c:ptCount val="1"/>
                <c:pt idx="0">
                  <c:v>39</c:v>
                </c:pt>
              </c:numCache>
            </c:numRef>
          </c:val>
          <c:extLst>
            <c:ext xmlns:c16="http://schemas.microsoft.com/office/drawing/2014/chart" uri="{C3380CC4-5D6E-409C-BE32-E72D297353CC}">
              <c16:uniqueId val="{00000015-DD29-4E8C-81C0-3E7FA02671FB}"/>
            </c:ext>
          </c:extLst>
        </c:ser>
        <c:dLbls>
          <c:showLegendKey val="0"/>
          <c:showVal val="0"/>
          <c:showCatName val="0"/>
          <c:showSerName val="0"/>
          <c:showPercent val="0"/>
          <c:showBubbleSize val="0"/>
        </c:dLbls>
        <c:gapWidth val="150"/>
        <c:shape val="box"/>
        <c:axId val="1002684848"/>
        <c:axId val="1002686288"/>
        <c:axId val="0"/>
      </c:bar3DChart>
      <c:catAx>
        <c:axId val="1002684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686288"/>
        <c:crosses val="autoZero"/>
        <c:auto val="1"/>
        <c:lblAlgn val="ctr"/>
        <c:lblOffset val="100"/>
        <c:noMultiLvlLbl val="0"/>
      </c:catAx>
      <c:valAx>
        <c:axId val="1002686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684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employee_data .xlsx]Charts!PivotTable7</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Charts!$B$60:$B$61</c:f>
              <c:strCache>
                <c:ptCount val="1"/>
                <c:pt idx="0">
                  <c:v>1-2 Lakhs</c:v>
                </c:pt>
              </c:strCache>
            </c:strRef>
          </c:tx>
          <c:spPr>
            <a:solidFill>
              <a:schemeClr val="accent1"/>
            </a:solidFill>
            <a:ln>
              <a:noFill/>
            </a:ln>
            <a:effectLst/>
          </c:spPr>
          <c:invertIfNegative val="0"/>
          <c:cat>
            <c:strRef>
              <c:f>Charts!$A$62</c:f>
              <c:strCache>
                <c:ptCount val="1"/>
                <c:pt idx="0">
                  <c:v>Total</c:v>
                </c:pt>
              </c:strCache>
            </c:strRef>
          </c:cat>
          <c:val>
            <c:numRef>
              <c:f>Charts!$B$62</c:f>
              <c:numCache>
                <c:formatCode>General</c:formatCode>
                <c:ptCount val="1"/>
                <c:pt idx="0">
                  <c:v>136</c:v>
                </c:pt>
              </c:numCache>
            </c:numRef>
          </c:val>
          <c:extLst>
            <c:ext xmlns:c16="http://schemas.microsoft.com/office/drawing/2014/chart" uri="{C3380CC4-5D6E-409C-BE32-E72D297353CC}">
              <c16:uniqueId val="{00000000-4FDA-447B-9BA4-D45255223F46}"/>
            </c:ext>
          </c:extLst>
        </c:ser>
        <c:ser>
          <c:idx val="1"/>
          <c:order val="1"/>
          <c:tx>
            <c:strRef>
              <c:f>Charts!$C$60:$C$61</c:f>
              <c:strCache>
                <c:ptCount val="1"/>
                <c:pt idx="0">
                  <c:v>2 Lakhs +</c:v>
                </c:pt>
              </c:strCache>
            </c:strRef>
          </c:tx>
          <c:spPr>
            <a:solidFill>
              <a:schemeClr val="accent2"/>
            </a:solidFill>
            <a:ln>
              <a:noFill/>
            </a:ln>
            <a:effectLst/>
          </c:spPr>
          <c:invertIfNegative val="0"/>
          <c:cat>
            <c:strRef>
              <c:f>Charts!$A$62</c:f>
              <c:strCache>
                <c:ptCount val="1"/>
                <c:pt idx="0">
                  <c:v>Total</c:v>
                </c:pt>
              </c:strCache>
            </c:strRef>
          </c:cat>
          <c:val>
            <c:numRef>
              <c:f>Charts!$C$62</c:f>
              <c:numCache>
                <c:formatCode>General</c:formatCode>
                <c:ptCount val="1"/>
                <c:pt idx="0">
                  <c:v>78</c:v>
                </c:pt>
              </c:numCache>
            </c:numRef>
          </c:val>
          <c:extLst>
            <c:ext xmlns:c16="http://schemas.microsoft.com/office/drawing/2014/chart" uri="{C3380CC4-5D6E-409C-BE32-E72D297353CC}">
              <c16:uniqueId val="{0000000A-238D-497D-9A6B-41D67B197605}"/>
            </c:ext>
          </c:extLst>
        </c:ser>
        <c:ser>
          <c:idx val="2"/>
          <c:order val="2"/>
          <c:tx>
            <c:strRef>
              <c:f>Charts!$D$60:$D$61</c:f>
              <c:strCache>
                <c:ptCount val="1"/>
                <c:pt idx="0">
                  <c:v>Below 1 Lakhs</c:v>
                </c:pt>
              </c:strCache>
            </c:strRef>
          </c:tx>
          <c:spPr>
            <a:solidFill>
              <a:schemeClr val="accent3"/>
            </a:solidFill>
            <a:ln>
              <a:noFill/>
            </a:ln>
            <a:effectLst/>
          </c:spPr>
          <c:invertIfNegative val="0"/>
          <c:cat>
            <c:strRef>
              <c:f>Charts!$A$62</c:f>
              <c:strCache>
                <c:ptCount val="1"/>
                <c:pt idx="0">
                  <c:v>Total</c:v>
                </c:pt>
              </c:strCache>
            </c:strRef>
          </c:cat>
          <c:val>
            <c:numRef>
              <c:f>Charts!$D$62</c:f>
              <c:numCache>
                <c:formatCode>General</c:formatCode>
                <c:ptCount val="1"/>
                <c:pt idx="0">
                  <c:v>29</c:v>
                </c:pt>
              </c:numCache>
            </c:numRef>
          </c:val>
          <c:extLst>
            <c:ext xmlns:c16="http://schemas.microsoft.com/office/drawing/2014/chart" uri="{C3380CC4-5D6E-409C-BE32-E72D297353CC}">
              <c16:uniqueId val="{0000000B-238D-497D-9A6B-41D67B197605}"/>
            </c:ext>
          </c:extLst>
        </c:ser>
        <c:dLbls>
          <c:showLegendKey val="0"/>
          <c:showVal val="0"/>
          <c:showCatName val="0"/>
          <c:showSerName val="0"/>
          <c:showPercent val="0"/>
          <c:showBubbleSize val="0"/>
        </c:dLbls>
        <c:gapWidth val="150"/>
        <c:overlap val="100"/>
        <c:axId val="861266575"/>
        <c:axId val="1728255567"/>
      </c:barChart>
      <c:catAx>
        <c:axId val="86126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255567"/>
        <c:crosses val="autoZero"/>
        <c:auto val="1"/>
        <c:lblAlgn val="ctr"/>
        <c:lblOffset val="100"/>
        <c:noMultiLvlLbl val="0"/>
      </c:catAx>
      <c:valAx>
        <c:axId val="1728255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26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employee_data .xlsx]Charts!PivotTable6</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Charts!$B$91</c:f>
              <c:strCache>
                <c:ptCount val="1"/>
                <c:pt idx="0">
                  <c:v>Total</c:v>
                </c:pt>
              </c:strCache>
            </c:strRef>
          </c:tx>
          <c:spPr>
            <a:solidFill>
              <a:schemeClr val="accent1"/>
            </a:solidFill>
            <a:ln>
              <a:noFill/>
            </a:ln>
            <a:effectLst/>
            <a:sp3d/>
          </c:spPr>
          <c:invertIfNegative val="0"/>
          <c:cat>
            <c:strRef>
              <c:f>Charts!$A$92:$A$97</c:f>
              <c:strCache>
                <c:ptCount val="5"/>
                <c:pt idx="0">
                  <c:v>Finance</c:v>
                </c:pt>
                <c:pt idx="1">
                  <c:v>HR</c:v>
                </c:pt>
                <c:pt idx="2">
                  <c:v>IT</c:v>
                </c:pt>
                <c:pt idx="3">
                  <c:v>Marketing</c:v>
                </c:pt>
                <c:pt idx="4">
                  <c:v>Sales</c:v>
                </c:pt>
              </c:strCache>
            </c:strRef>
          </c:cat>
          <c:val>
            <c:numRef>
              <c:f>Charts!$B$92:$B$97</c:f>
              <c:numCache>
                <c:formatCode>0</c:formatCode>
                <c:ptCount val="5"/>
                <c:pt idx="0">
                  <c:v>20.736842105263158</c:v>
                </c:pt>
                <c:pt idx="1">
                  <c:v>21</c:v>
                </c:pt>
                <c:pt idx="2">
                  <c:v>21.568627450980394</c:v>
                </c:pt>
                <c:pt idx="3">
                  <c:v>22.125</c:v>
                </c:pt>
                <c:pt idx="4">
                  <c:v>20.326086956521738</c:v>
                </c:pt>
              </c:numCache>
            </c:numRef>
          </c:val>
          <c:extLst>
            <c:ext xmlns:c16="http://schemas.microsoft.com/office/drawing/2014/chart" uri="{C3380CC4-5D6E-409C-BE32-E72D297353CC}">
              <c16:uniqueId val="{00000000-2C6A-44F0-BA83-ED369C31C6E0}"/>
            </c:ext>
          </c:extLst>
        </c:ser>
        <c:dLbls>
          <c:showLegendKey val="0"/>
          <c:showVal val="0"/>
          <c:showCatName val="0"/>
          <c:showSerName val="0"/>
          <c:showPercent val="0"/>
          <c:showBubbleSize val="0"/>
        </c:dLbls>
        <c:gapWidth val="150"/>
        <c:shape val="box"/>
        <c:axId val="1831788303"/>
        <c:axId val="1067730463"/>
        <c:axId val="0"/>
      </c:bar3DChart>
      <c:catAx>
        <c:axId val="1831788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730463"/>
        <c:crosses val="autoZero"/>
        <c:auto val="1"/>
        <c:lblAlgn val="ctr"/>
        <c:lblOffset val="100"/>
        <c:noMultiLvlLbl val="0"/>
      </c:catAx>
      <c:valAx>
        <c:axId val="106773046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78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1 employee_data .xlsx]Charts!PivotTable1</c:name>
    <c:fmtId val="2"/>
  </c:pivotSource>
  <c:chart>
    <c:title>
      <c:tx>
        <c:rich>
          <a:bodyPr rot="0" spcFirstLastPara="1" vertOverflow="ellipsis" vert="horz" wrap="square" anchor="ctr" anchorCtr="1"/>
          <a:lstStyle/>
          <a:p>
            <a:pPr>
              <a:defRPr sz="1600" b="1" i="0" u="none" strike="noStrike" kern="1200" spc="100" baseline="0">
                <a:solidFill>
                  <a:schemeClr val="accent1">
                    <a:lumMod val="40000"/>
                    <a:lumOff val="60000"/>
                  </a:schemeClr>
                </a:solidFill>
                <a:effectLst>
                  <a:outerShdw blurRad="50800" dist="38100" dir="5400000" algn="t" rotWithShape="0">
                    <a:prstClr val="black">
                      <a:alpha val="40000"/>
                    </a:prstClr>
                  </a:outerShdw>
                </a:effectLst>
                <a:latin typeface="+mn-lt"/>
                <a:ea typeface="+mn-ea"/>
                <a:cs typeface="+mn-cs"/>
              </a:defRPr>
            </a:pPr>
            <a:r>
              <a:rPr lang="en-US" baseline="0">
                <a:latin typeface="Agency FB" panose="020B0503020202020204" pitchFamily="34" charset="0"/>
              </a:rPr>
              <a:t>TOTAL EMPLOYEES</a:t>
            </a:r>
            <a:endParaRPr lang="en-US">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1">
                  <a:lumMod val="40000"/>
                  <a:lumOff val="6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4472C4">
                <a:lumMod val="5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40000"/>
                      <a:lumOff val="60000"/>
                    </a:schemeClr>
                  </a:solidFill>
                  <a:latin typeface="Agency FB" panose="020B0503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40000"/>
                      <a:lumOff val="60000"/>
                    </a:schemeClr>
                  </a:solidFill>
                  <a:latin typeface="Agency FB" panose="020B0503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Charts!$B$3</c:f>
              <c:strCache>
                <c:ptCount val="1"/>
                <c:pt idx="0">
                  <c:v>Total</c:v>
                </c:pt>
              </c:strCache>
            </c:strRef>
          </c:tx>
          <c:dPt>
            <c:idx val="0"/>
            <c:bubble3D val="0"/>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060-476F-A751-42CF96DFF496}"/>
              </c:ext>
            </c:extLst>
          </c:dPt>
          <c:dPt>
            <c:idx val="1"/>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060-476F-A751-42CF96DFF49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060-476F-A751-42CF96DFF496}"/>
              </c:ext>
            </c:extLst>
          </c:dPt>
          <c:dPt>
            <c:idx val="3"/>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060-476F-A751-42CF96DFF496}"/>
              </c:ext>
            </c:extLst>
          </c:dPt>
          <c:dPt>
            <c:idx val="4"/>
            <c:bubble3D val="0"/>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060-476F-A751-42CF96DFF496}"/>
              </c:ext>
            </c:extLst>
          </c:dPt>
          <c:dLbls>
            <c:spPr>
              <a:solidFill>
                <a:srgbClr val="4472C4">
                  <a:lumMod val="5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40000"/>
                        <a:lumOff val="60000"/>
                      </a:schemeClr>
                    </a:solidFill>
                    <a:latin typeface="Agency FB" panose="020B0503020202020204" pitchFamily="34" charset="0"/>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Charts!$A$4:$A$9</c:f>
              <c:strCache>
                <c:ptCount val="5"/>
                <c:pt idx="0">
                  <c:v>Finance</c:v>
                </c:pt>
                <c:pt idx="1">
                  <c:v>HR</c:v>
                </c:pt>
                <c:pt idx="2">
                  <c:v>IT</c:v>
                </c:pt>
                <c:pt idx="3">
                  <c:v>Marketing</c:v>
                </c:pt>
                <c:pt idx="4">
                  <c:v>Sales</c:v>
                </c:pt>
              </c:strCache>
            </c:strRef>
          </c:cat>
          <c:val>
            <c:numRef>
              <c:f>Charts!$B$4:$B$9</c:f>
              <c:numCache>
                <c:formatCode>General</c:formatCode>
                <c:ptCount val="5"/>
                <c:pt idx="0">
                  <c:v>57</c:v>
                </c:pt>
                <c:pt idx="1">
                  <c:v>41</c:v>
                </c:pt>
                <c:pt idx="2">
                  <c:v>51</c:v>
                </c:pt>
                <c:pt idx="3">
                  <c:v>48</c:v>
                </c:pt>
                <c:pt idx="4">
                  <c:v>46</c:v>
                </c:pt>
              </c:numCache>
            </c:numRef>
          </c:val>
          <c:extLst>
            <c:ext xmlns:c16="http://schemas.microsoft.com/office/drawing/2014/chart" uri="{C3380CC4-5D6E-409C-BE32-E72D297353CC}">
              <c16:uniqueId val="{00000000-8C30-4CA1-A250-39A061521A86}"/>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40000"/>
                  <a:lumOff val="60000"/>
                </a:schemeClr>
              </a:solidFill>
              <a:latin typeface="Agency FB" panose="020B0503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a:noFill/>
    </a:ln>
    <a:effectLst/>
  </c:spPr>
  <c:txPr>
    <a:bodyPr/>
    <a:lstStyle/>
    <a:p>
      <a:pPr>
        <a:defRPr>
          <a:solidFill>
            <a:schemeClr val="accent1">
              <a:lumMod val="40000"/>
              <a:lumOff val="6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1 employee_data .xlsx]Charts!PivotTable2</c:name>
    <c:fmtId val="6"/>
  </c:pivotSource>
  <c:chart>
    <c:title>
      <c:tx>
        <c:rich>
          <a:bodyPr rot="0" spcFirstLastPara="1" vertOverflow="ellipsis" vert="horz" wrap="square" anchor="ctr" anchorCtr="1"/>
          <a:lstStyle/>
          <a:p>
            <a:pPr>
              <a:defRPr sz="1600" b="1" i="0" u="none" strike="noStrike" kern="1200" spc="100" baseline="0">
                <a:solidFill>
                  <a:schemeClr val="accent1">
                    <a:lumMod val="40000"/>
                    <a:lumOff val="60000"/>
                  </a:schemeClr>
                </a:solidFill>
                <a:effectLst>
                  <a:outerShdw blurRad="50800" dist="38100" dir="5400000" algn="t" rotWithShape="0">
                    <a:prstClr val="black">
                      <a:alpha val="40000"/>
                    </a:prstClr>
                  </a:outerShdw>
                </a:effectLst>
                <a:latin typeface="Agency FB" panose="020B0503020202020204" pitchFamily="34" charset="0"/>
                <a:ea typeface="+mn-ea"/>
                <a:cs typeface="+mn-cs"/>
              </a:defRPr>
            </a:pPr>
            <a:r>
              <a:rPr lang="en-US">
                <a:latin typeface="Agency FB" panose="020B0503020202020204" pitchFamily="34" charset="0"/>
              </a:rPr>
              <a:t>MANAGERS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1">
                  <a:lumMod val="40000"/>
                  <a:lumOff val="60000"/>
                </a:schemeClr>
              </a:solidFill>
              <a:effectLst>
                <a:outerShdw blurRad="50800" dist="38100" dir="5400000" algn="t" rotWithShape="0">
                  <a:prstClr val="black">
                    <a:alpha val="40000"/>
                  </a:prstClr>
                </a:outerShdw>
              </a:effectLst>
              <a:latin typeface="Agency FB" panose="020B05030202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40000"/>
                      <a:lumOff val="6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7"/>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Charts!$B$24</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Charts!$A$25:$A$26</c:f>
              <c:strCache>
                <c:ptCount val="1"/>
                <c:pt idx="0">
                  <c:v>Not Manager</c:v>
                </c:pt>
              </c:strCache>
            </c:strRef>
          </c:cat>
          <c:val>
            <c:numRef>
              <c:f>Charts!$B$25:$B$26</c:f>
              <c:numCache>
                <c:formatCode>General</c:formatCode>
                <c:ptCount val="1"/>
                <c:pt idx="0">
                  <c:v>243</c:v>
                </c:pt>
              </c:numCache>
            </c:numRef>
          </c:val>
          <c:extLst>
            <c:ext xmlns:c16="http://schemas.microsoft.com/office/drawing/2014/chart" uri="{C3380CC4-5D6E-409C-BE32-E72D297353CC}">
              <c16:uniqueId val="{00000000-FF21-43C4-8F77-86653AA2759D}"/>
            </c:ext>
          </c:extLst>
        </c:ser>
        <c:dLbls>
          <c:showLegendKey val="0"/>
          <c:showVal val="0"/>
          <c:showCatName val="0"/>
          <c:showSerName val="0"/>
          <c:showPercent val="0"/>
          <c:showBubbleSize val="0"/>
        </c:dLbls>
        <c:gapWidth val="150"/>
        <c:shape val="box"/>
        <c:axId val="2128966704"/>
        <c:axId val="2120587216"/>
        <c:axId val="0"/>
      </c:bar3DChart>
      <c:catAx>
        <c:axId val="2128966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40000"/>
                    <a:lumOff val="60000"/>
                  </a:schemeClr>
                </a:solidFill>
                <a:latin typeface="Agency FB" panose="020B0503020202020204" pitchFamily="34" charset="0"/>
                <a:ea typeface="+mn-ea"/>
                <a:cs typeface="+mn-cs"/>
              </a:defRPr>
            </a:pPr>
            <a:endParaRPr lang="en-US"/>
          </a:p>
        </c:txPr>
        <c:crossAx val="2120587216"/>
        <c:crosses val="autoZero"/>
        <c:auto val="1"/>
        <c:lblAlgn val="ctr"/>
        <c:lblOffset val="100"/>
        <c:noMultiLvlLbl val="0"/>
      </c:catAx>
      <c:valAx>
        <c:axId val="2120587216"/>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40000"/>
                    <a:lumOff val="60000"/>
                  </a:schemeClr>
                </a:solidFill>
                <a:latin typeface="Agency FB" panose="020B0503020202020204" pitchFamily="34" charset="0"/>
                <a:ea typeface="+mn-ea"/>
                <a:cs typeface="+mn-cs"/>
              </a:defRPr>
            </a:pPr>
            <a:endParaRPr lang="en-US"/>
          </a:p>
        </c:txPr>
        <c:crossAx val="2128966704"/>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accent1">
                    <a:lumMod val="40000"/>
                    <a:lumOff val="60000"/>
                  </a:schemeClr>
                </a:solidFill>
                <a:latin typeface="Agency FB" panose="020B0503020202020204" pitchFamily="34" charset="0"/>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40000"/>
                  <a:lumOff val="60000"/>
                </a:schemeClr>
              </a:solidFill>
              <a:latin typeface="Agency FB" panose="020B0503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a:noFill/>
    </a:ln>
    <a:effectLst/>
  </c:spPr>
  <c:txPr>
    <a:bodyPr/>
    <a:lstStyle/>
    <a:p>
      <a:pPr>
        <a:defRPr>
          <a:solidFill>
            <a:schemeClr val="accent1">
              <a:lumMod val="40000"/>
              <a:lumOff val="6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employee_data .xlsx]Charts!PivotTable3</c:name>
    <c:fmtId val="9"/>
  </c:pivotSource>
  <c:chart>
    <c:title>
      <c:tx>
        <c:rich>
          <a:bodyPr rot="0" spcFirstLastPara="1" vertOverflow="ellipsis" vert="horz" wrap="square" anchor="ctr" anchorCtr="1"/>
          <a:lstStyle/>
          <a:p>
            <a:pPr>
              <a:defRPr sz="1600" b="1" i="0" u="none" strike="noStrike" kern="1200" spc="100" baseline="0">
                <a:solidFill>
                  <a:schemeClr val="accent1">
                    <a:lumMod val="40000"/>
                    <a:lumOff val="60000"/>
                  </a:schemeClr>
                </a:solidFill>
                <a:effectLst>
                  <a:outerShdw blurRad="50800" dist="38100" dir="5400000" algn="t" rotWithShape="0">
                    <a:prstClr val="black">
                      <a:alpha val="40000"/>
                    </a:prstClr>
                  </a:outerShdw>
                </a:effectLst>
                <a:latin typeface="Agency FB" panose="020B0503020202020204" pitchFamily="34" charset="0"/>
                <a:ea typeface="+mn-ea"/>
                <a:cs typeface="+mn-cs"/>
              </a:defRPr>
            </a:pPr>
            <a:r>
              <a:rPr lang="en-US"/>
              <a:t>AVERAGE SALARY EMPLOYEES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1">
                  <a:lumMod val="40000"/>
                  <a:lumOff val="60000"/>
                </a:schemeClr>
              </a:solidFill>
              <a:effectLst>
                <a:outerShdw blurRad="50800" dist="38100" dir="5400000" algn="t" rotWithShape="0">
                  <a:prstClr val="black">
                    <a:alpha val="40000"/>
                  </a:prstClr>
                </a:outerShdw>
              </a:effectLst>
              <a:latin typeface="Agency FB" panose="020B05030202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rgbClr val="4472C4">
                <a:lumMod val="50000"/>
              </a:srgb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1">
                      <a:lumMod val="40000"/>
                      <a:lumOff val="60000"/>
                    </a:schemeClr>
                  </a:solidFill>
                  <a:latin typeface="Agency FB" panose="020B0503020202020204" pitchFamily="34"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solidFill>
            <a:schemeClr val="accent1">
              <a:lumMod val="40000"/>
              <a:lumOff val="60000"/>
            </a:schemeClr>
          </a:solidFill>
          <a:ln>
            <a:noFill/>
          </a:ln>
          <a:effectLst>
            <a:outerShdw blurRad="57150" dist="19050" dir="5400000" algn="ctr" rotWithShape="0">
              <a:srgbClr val="000000">
                <a:alpha val="63000"/>
              </a:srgbClr>
            </a:outerShdw>
          </a:effectLst>
          <a:sp3d/>
        </c:spPr>
      </c:pivotFmt>
      <c:pivotFmt>
        <c:idx val="10"/>
        <c:spPr>
          <a:solidFill>
            <a:schemeClr val="accent1">
              <a:lumMod val="75000"/>
            </a:schemeClr>
          </a:solidFill>
          <a:ln>
            <a:noFill/>
          </a:ln>
          <a:effectLst>
            <a:outerShdw blurRad="57150" dist="19050" dir="5400000" algn="ctr" rotWithShape="0">
              <a:srgbClr val="000000">
                <a:alpha val="63000"/>
              </a:srgbClr>
            </a:outerShdw>
          </a:effectLst>
          <a:sp3d/>
        </c:spPr>
      </c:pivotFmt>
      <c:pivotFmt>
        <c:idx val="11"/>
        <c:spPr>
          <a:solidFill>
            <a:schemeClr val="accent1">
              <a:lumMod val="60000"/>
              <a:lumOff val="40000"/>
            </a:schemeClr>
          </a:soli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Charts!$B$32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85C-4232-9EF8-926940ACA74B}"/>
              </c:ext>
            </c:extLst>
          </c:dPt>
          <c:dPt>
            <c:idx val="1"/>
            <c:bubble3D val="0"/>
            <c:spPr>
              <a:solidFill>
                <a:schemeClr val="accent1">
                  <a:lumMod val="40000"/>
                  <a:lumOff val="6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85C-4232-9EF8-926940ACA74B}"/>
              </c:ext>
            </c:extLst>
          </c:dPt>
          <c:dPt>
            <c:idx val="2"/>
            <c:bubble3D val="0"/>
            <c:spPr>
              <a:solidFill>
                <a:schemeClr val="accent1">
                  <a:lumMod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285C-4232-9EF8-926940ACA74B}"/>
              </c:ext>
            </c:extLst>
          </c:dPt>
          <c:dPt>
            <c:idx val="3"/>
            <c:bubble3D val="0"/>
            <c:spPr>
              <a:solidFill>
                <a:schemeClr val="accent1">
                  <a:lumMod val="60000"/>
                  <a:lumOff val="4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285C-4232-9EF8-926940ACA74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285C-4232-9EF8-926940ACA74B}"/>
              </c:ext>
            </c:extLst>
          </c:dPt>
          <c:dLbls>
            <c:spPr>
              <a:solidFill>
                <a:srgbClr val="4472C4">
                  <a:lumMod val="50000"/>
                </a:srgb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1">
                        <a:lumMod val="40000"/>
                        <a:lumOff val="60000"/>
                      </a:schemeClr>
                    </a:solidFill>
                    <a:latin typeface="Agency FB" panose="020B0503020202020204" pitchFamily="34" charset="0"/>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Charts!$A$33:$A$38</c:f>
              <c:strCache>
                <c:ptCount val="5"/>
                <c:pt idx="0">
                  <c:v>Finance</c:v>
                </c:pt>
                <c:pt idx="1">
                  <c:v>HR</c:v>
                </c:pt>
                <c:pt idx="2">
                  <c:v>IT</c:v>
                </c:pt>
                <c:pt idx="3">
                  <c:v>Marketing</c:v>
                </c:pt>
                <c:pt idx="4">
                  <c:v>Sales</c:v>
                </c:pt>
              </c:strCache>
            </c:strRef>
          </c:cat>
          <c:val>
            <c:numRef>
              <c:f>Charts!$B$33:$B$38</c:f>
              <c:numCache>
                <c:formatCode>General</c:formatCode>
                <c:ptCount val="5"/>
                <c:pt idx="0">
                  <c:v>165951.91228070174</c:v>
                </c:pt>
                <c:pt idx="1">
                  <c:v>169498.46341463414</c:v>
                </c:pt>
                <c:pt idx="2">
                  <c:v>172284.29411764705</c:v>
                </c:pt>
                <c:pt idx="3">
                  <c:v>177039.1875</c:v>
                </c:pt>
                <c:pt idx="4">
                  <c:v>162194.84782608695</c:v>
                </c:pt>
              </c:numCache>
            </c:numRef>
          </c:val>
          <c:extLst>
            <c:ext xmlns:c16="http://schemas.microsoft.com/office/drawing/2014/chart" uri="{C3380CC4-5D6E-409C-BE32-E72D297353CC}">
              <c16:uniqueId val="{00000010-5F57-435B-AD70-E168BF4B2BE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40000"/>
                  <a:lumOff val="60000"/>
                </a:schemeClr>
              </a:solidFill>
              <a:latin typeface="Agency FB" panose="020B0503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a:noFill/>
    </a:ln>
    <a:effectLst/>
  </c:spPr>
  <c:txPr>
    <a:bodyPr/>
    <a:lstStyle/>
    <a:p>
      <a:pPr>
        <a:defRPr>
          <a:solidFill>
            <a:schemeClr val="accent1">
              <a:lumMod val="40000"/>
              <a:lumOff val="60000"/>
            </a:schemeClr>
          </a:solidFill>
          <a:latin typeface="Agency FB" panose="020B0503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employee_data .xlsx]Charts!PivotTable4</c:name>
    <c:fmtId val="14"/>
  </c:pivotSource>
  <c:chart>
    <c:title>
      <c:tx>
        <c:rich>
          <a:bodyPr rot="0" spcFirstLastPara="1" vertOverflow="ellipsis" vert="horz" wrap="square" anchor="ctr" anchorCtr="1"/>
          <a:lstStyle/>
          <a:p>
            <a:pPr>
              <a:defRPr sz="1600" b="1" i="0" u="none" strike="noStrike" kern="1200" spc="100" baseline="0">
                <a:solidFill>
                  <a:schemeClr val="accent1">
                    <a:lumMod val="60000"/>
                    <a:lumOff val="40000"/>
                  </a:schemeClr>
                </a:solidFill>
                <a:effectLst>
                  <a:outerShdw blurRad="50800" dist="38100" dir="5400000" algn="t" rotWithShape="0">
                    <a:prstClr val="black">
                      <a:alpha val="40000"/>
                    </a:prstClr>
                  </a:outerShdw>
                </a:effectLst>
                <a:latin typeface="Agency FB" panose="020B0503020202020204" pitchFamily="34" charset="0"/>
                <a:ea typeface="+mn-ea"/>
                <a:cs typeface="+mn-cs"/>
              </a:defRPr>
            </a:pPr>
            <a:r>
              <a:rPr lang="en-US"/>
              <a:t> Employees Age Groups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1">
                  <a:lumMod val="60000"/>
                  <a:lumOff val="40000"/>
                </a:schemeClr>
              </a:solidFill>
              <a:effectLst>
                <a:outerShdw blurRad="50800" dist="38100" dir="5400000" algn="t" rotWithShape="0">
                  <a:prstClr val="black">
                    <a:alpha val="40000"/>
                  </a:prstClr>
                </a:outerShdw>
              </a:effectLst>
              <a:latin typeface="Agency FB" panose="020B05030202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60000"/>
                      <a:lumOff val="40000"/>
                    </a:schemeClr>
                  </a:solidFill>
                  <a:latin typeface="Agency FB" panose="020B0503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60000"/>
                      <a:lumOff val="40000"/>
                    </a:schemeClr>
                  </a:solidFill>
                  <a:latin typeface="Agency FB" panose="020B0503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2">
              <a:lumMod val="50000"/>
            </a:schemeClr>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60000"/>
                      <a:lumOff val="40000"/>
                    </a:schemeClr>
                  </a:solidFill>
                  <a:latin typeface="Agency FB" panose="020B0503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60000"/>
                      <a:lumOff val="40000"/>
                    </a:schemeClr>
                  </a:solidFill>
                  <a:latin typeface="Agency FB" panose="020B0503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Charts!$B$43:$B$44</c:f>
              <c:strCache>
                <c:ptCount val="1"/>
                <c:pt idx="0">
                  <c:v>30-50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Charts!$A$45</c:f>
              <c:strCache>
                <c:ptCount val="1"/>
                <c:pt idx="0">
                  <c:v>Total</c:v>
                </c:pt>
              </c:strCache>
            </c:strRef>
          </c:cat>
          <c:val>
            <c:numRef>
              <c:f>Charts!$B$45</c:f>
              <c:numCache>
                <c:formatCode>General</c:formatCode>
                <c:ptCount val="1"/>
                <c:pt idx="0">
                  <c:v>123</c:v>
                </c:pt>
              </c:numCache>
            </c:numRef>
          </c:val>
          <c:extLst>
            <c:ext xmlns:c16="http://schemas.microsoft.com/office/drawing/2014/chart" uri="{C3380CC4-5D6E-409C-BE32-E72D297353CC}">
              <c16:uniqueId val="{00000000-78C0-4C20-A5F9-3B588B5FD71B}"/>
            </c:ext>
          </c:extLst>
        </c:ser>
        <c:ser>
          <c:idx val="1"/>
          <c:order val="1"/>
          <c:tx>
            <c:strRef>
              <c:f>Charts!$C$43:$C$44</c:f>
              <c:strCache>
                <c:ptCount val="1"/>
                <c:pt idx="0">
                  <c:v>50+</c:v>
                </c:pt>
              </c:strCache>
            </c:strRef>
          </c:tx>
          <c:spPr>
            <a:solidFill>
              <a:schemeClr val="accent1">
                <a:lumMod val="60000"/>
                <a:lumOff val="40000"/>
              </a:schemeClr>
            </a:solidFill>
            <a:ln>
              <a:noFill/>
            </a:ln>
            <a:effectLst>
              <a:outerShdw blurRad="57150" dist="19050" dir="5400000" algn="ctr" rotWithShape="0">
                <a:srgbClr val="000000">
                  <a:alpha val="63000"/>
                </a:srgbClr>
              </a:outerShdw>
            </a:effectLst>
            <a:sp3d/>
          </c:spPr>
          <c:invertIfNegative val="0"/>
          <c:cat>
            <c:strRef>
              <c:f>Charts!$A$45</c:f>
              <c:strCache>
                <c:ptCount val="1"/>
                <c:pt idx="0">
                  <c:v>Total</c:v>
                </c:pt>
              </c:strCache>
            </c:strRef>
          </c:cat>
          <c:val>
            <c:numRef>
              <c:f>Charts!$C$45</c:f>
              <c:numCache>
                <c:formatCode>General</c:formatCode>
                <c:ptCount val="1"/>
                <c:pt idx="0">
                  <c:v>81</c:v>
                </c:pt>
              </c:numCache>
            </c:numRef>
          </c:val>
          <c:extLst>
            <c:ext xmlns:c16="http://schemas.microsoft.com/office/drawing/2014/chart" uri="{C3380CC4-5D6E-409C-BE32-E72D297353CC}">
              <c16:uniqueId val="{00000013-AA05-4ABC-83D9-D3C424EEAC15}"/>
            </c:ext>
          </c:extLst>
        </c:ser>
        <c:ser>
          <c:idx val="2"/>
          <c:order val="2"/>
          <c:tx>
            <c:strRef>
              <c:f>Charts!$D$43:$D$44</c:f>
              <c:strCache>
                <c:ptCount val="1"/>
                <c:pt idx="0">
                  <c:v>Under 30</c:v>
                </c:pt>
              </c:strCache>
            </c:strRef>
          </c:tx>
          <c:spPr>
            <a:solidFill>
              <a:schemeClr val="bg2">
                <a:lumMod val="50000"/>
              </a:schemeClr>
            </a:solidFill>
            <a:ln>
              <a:noFill/>
            </a:ln>
            <a:effectLst>
              <a:outerShdw blurRad="57150" dist="19050" dir="5400000" algn="ctr" rotWithShape="0">
                <a:srgbClr val="000000">
                  <a:alpha val="63000"/>
                </a:srgbClr>
              </a:outerShdw>
            </a:effectLst>
            <a:sp3d/>
          </c:spPr>
          <c:invertIfNegative val="0"/>
          <c:cat>
            <c:strRef>
              <c:f>Charts!$A$45</c:f>
              <c:strCache>
                <c:ptCount val="1"/>
                <c:pt idx="0">
                  <c:v>Total</c:v>
                </c:pt>
              </c:strCache>
            </c:strRef>
          </c:cat>
          <c:val>
            <c:numRef>
              <c:f>Charts!$D$45</c:f>
              <c:numCache>
                <c:formatCode>General</c:formatCode>
                <c:ptCount val="1"/>
                <c:pt idx="0">
                  <c:v>39</c:v>
                </c:pt>
              </c:numCache>
            </c:numRef>
          </c:val>
          <c:extLst>
            <c:ext xmlns:c16="http://schemas.microsoft.com/office/drawing/2014/chart" uri="{C3380CC4-5D6E-409C-BE32-E72D297353CC}">
              <c16:uniqueId val="{00000015-AA05-4ABC-83D9-D3C424EEAC15}"/>
            </c:ext>
          </c:extLst>
        </c:ser>
        <c:dLbls>
          <c:showLegendKey val="0"/>
          <c:showVal val="0"/>
          <c:showCatName val="0"/>
          <c:showSerName val="0"/>
          <c:showPercent val="0"/>
          <c:showBubbleSize val="0"/>
        </c:dLbls>
        <c:gapWidth val="150"/>
        <c:shape val="box"/>
        <c:axId val="1002684848"/>
        <c:axId val="1002686288"/>
        <c:axId val="0"/>
      </c:bar3DChart>
      <c:catAx>
        <c:axId val="1002684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60000"/>
                    <a:lumOff val="40000"/>
                  </a:schemeClr>
                </a:solidFill>
                <a:latin typeface="Agency FB" panose="020B0503020202020204" pitchFamily="34" charset="0"/>
                <a:ea typeface="+mn-ea"/>
                <a:cs typeface="+mn-cs"/>
              </a:defRPr>
            </a:pPr>
            <a:endParaRPr lang="en-US"/>
          </a:p>
        </c:txPr>
        <c:crossAx val="1002686288"/>
        <c:crosses val="autoZero"/>
        <c:auto val="1"/>
        <c:lblAlgn val="ctr"/>
        <c:lblOffset val="100"/>
        <c:noMultiLvlLbl val="0"/>
      </c:catAx>
      <c:valAx>
        <c:axId val="100268628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60000"/>
                    <a:lumOff val="40000"/>
                  </a:schemeClr>
                </a:solidFill>
                <a:latin typeface="Agency FB" panose="020B0503020202020204" pitchFamily="34" charset="0"/>
                <a:ea typeface="+mn-ea"/>
                <a:cs typeface="+mn-cs"/>
              </a:defRPr>
            </a:pPr>
            <a:endParaRPr lang="en-US"/>
          </a:p>
        </c:txPr>
        <c:crossAx val="100268484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accent1">
                    <a:lumMod val="60000"/>
                    <a:lumOff val="40000"/>
                  </a:schemeClr>
                </a:solidFill>
                <a:latin typeface="Agency FB" panose="020B0503020202020204" pitchFamily="34" charset="0"/>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60000"/>
                  <a:lumOff val="40000"/>
                </a:schemeClr>
              </a:solidFill>
              <a:latin typeface="Agency FB" panose="020B0503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a:noFill/>
    </a:ln>
    <a:effectLst/>
  </c:spPr>
  <c:txPr>
    <a:bodyPr/>
    <a:lstStyle/>
    <a:p>
      <a:pPr>
        <a:defRPr>
          <a:solidFill>
            <a:schemeClr val="accent1">
              <a:lumMod val="60000"/>
              <a:lumOff val="40000"/>
            </a:schemeClr>
          </a:solidFill>
          <a:latin typeface="Agency FB" panose="020B0503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employee_data .xlsx]Charts!PivotTable7</c:name>
    <c:fmtId val="18"/>
  </c:pivotSource>
  <c:chart>
    <c:title>
      <c:tx>
        <c:rich>
          <a:bodyPr rot="0" spcFirstLastPara="1" vertOverflow="ellipsis" vert="horz" wrap="square" anchor="ctr" anchorCtr="1"/>
          <a:lstStyle/>
          <a:p>
            <a:pPr>
              <a:defRPr sz="1600" b="1" i="0" u="none" strike="noStrike" kern="1200" spc="100" baseline="0">
                <a:solidFill>
                  <a:schemeClr val="accent1">
                    <a:lumMod val="60000"/>
                    <a:lumOff val="40000"/>
                  </a:schemeClr>
                </a:solidFill>
                <a:effectLst>
                  <a:outerShdw blurRad="50800" dist="38100" dir="5400000" algn="t" rotWithShape="0">
                    <a:prstClr val="black">
                      <a:alpha val="40000"/>
                    </a:prstClr>
                  </a:outerShdw>
                </a:effectLst>
                <a:latin typeface="Agency FB" panose="020B0503020202020204" pitchFamily="34" charset="0"/>
                <a:ea typeface="+mn-ea"/>
                <a:cs typeface="+mn-cs"/>
              </a:defRPr>
            </a:pPr>
            <a:r>
              <a:rPr lang="en-US"/>
              <a:t>Employees Salary Range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1">
                  <a:lumMod val="60000"/>
                  <a:lumOff val="40000"/>
                </a:schemeClr>
              </a:solidFill>
              <a:effectLst>
                <a:outerShdw blurRad="50800" dist="38100" dir="5400000" algn="t" rotWithShape="0">
                  <a:prstClr val="black">
                    <a:alpha val="40000"/>
                  </a:prstClr>
                </a:outerShdw>
              </a:effectLst>
              <a:latin typeface="Agency FB" panose="020B05030202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gency FB" panose="020B0503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gency FB" panose="020B0503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gency FB" panose="020B0503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Charts!$B$60:$B$61</c:f>
              <c:strCache>
                <c:ptCount val="1"/>
                <c:pt idx="0">
                  <c:v>1-2 Lakhs</c:v>
                </c:pt>
              </c:strCache>
            </c:strRef>
          </c:tx>
          <c:spPr>
            <a:solidFill>
              <a:schemeClr val="accent1">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gency FB" panose="020B0503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Charts!$A$62</c:f>
              <c:strCache>
                <c:ptCount val="1"/>
                <c:pt idx="0">
                  <c:v>Total</c:v>
                </c:pt>
              </c:strCache>
            </c:strRef>
          </c:cat>
          <c:val>
            <c:numRef>
              <c:f>Charts!$B$62</c:f>
              <c:numCache>
                <c:formatCode>General</c:formatCode>
                <c:ptCount val="1"/>
                <c:pt idx="0">
                  <c:v>136</c:v>
                </c:pt>
              </c:numCache>
            </c:numRef>
          </c:val>
          <c:extLst>
            <c:ext xmlns:c16="http://schemas.microsoft.com/office/drawing/2014/chart" uri="{C3380CC4-5D6E-409C-BE32-E72D297353CC}">
              <c16:uniqueId val="{00000000-635B-4400-AEA1-6645CD27B38A}"/>
            </c:ext>
          </c:extLst>
        </c:ser>
        <c:ser>
          <c:idx val="1"/>
          <c:order val="1"/>
          <c:tx>
            <c:strRef>
              <c:f>Charts!$C$60:$C$61</c:f>
              <c:strCache>
                <c:ptCount val="1"/>
                <c:pt idx="0">
                  <c:v>2 Lakhs +</c:v>
                </c:pt>
              </c:strCache>
            </c:strRef>
          </c:tx>
          <c:spPr>
            <a:solidFill>
              <a:schemeClr val="accent1">
                <a:lumMod val="60000"/>
                <a:lumOff val="4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gency FB" panose="020B0503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Charts!$A$62</c:f>
              <c:strCache>
                <c:ptCount val="1"/>
                <c:pt idx="0">
                  <c:v>Total</c:v>
                </c:pt>
              </c:strCache>
            </c:strRef>
          </c:cat>
          <c:val>
            <c:numRef>
              <c:f>Charts!$C$62</c:f>
              <c:numCache>
                <c:formatCode>General</c:formatCode>
                <c:ptCount val="1"/>
                <c:pt idx="0">
                  <c:v>78</c:v>
                </c:pt>
              </c:numCache>
            </c:numRef>
          </c:val>
          <c:extLst>
            <c:ext xmlns:c16="http://schemas.microsoft.com/office/drawing/2014/chart" uri="{C3380CC4-5D6E-409C-BE32-E72D297353CC}">
              <c16:uniqueId val="{0000000A-41A8-4ED2-BA76-9DE1E206AD1F}"/>
            </c:ext>
          </c:extLst>
        </c:ser>
        <c:ser>
          <c:idx val="2"/>
          <c:order val="2"/>
          <c:tx>
            <c:strRef>
              <c:f>Charts!$D$60:$D$61</c:f>
              <c:strCache>
                <c:ptCount val="1"/>
                <c:pt idx="0">
                  <c:v>Below 1 Lakhs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gency FB" panose="020B0503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Charts!$A$62</c:f>
              <c:strCache>
                <c:ptCount val="1"/>
                <c:pt idx="0">
                  <c:v>Total</c:v>
                </c:pt>
              </c:strCache>
            </c:strRef>
          </c:cat>
          <c:val>
            <c:numRef>
              <c:f>Charts!$D$62</c:f>
              <c:numCache>
                <c:formatCode>General</c:formatCode>
                <c:ptCount val="1"/>
                <c:pt idx="0">
                  <c:v>29</c:v>
                </c:pt>
              </c:numCache>
            </c:numRef>
          </c:val>
          <c:extLst>
            <c:ext xmlns:c16="http://schemas.microsoft.com/office/drawing/2014/chart" uri="{C3380CC4-5D6E-409C-BE32-E72D297353CC}">
              <c16:uniqueId val="{0000000B-41A8-4ED2-BA76-9DE1E206AD1F}"/>
            </c:ext>
          </c:extLst>
        </c:ser>
        <c:dLbls>
          <c:dLblPos val="ctr"/>
          <c:showLegendKey val="0"/>
          <c:showVal val="1"/>
          <c:showCatName val="0"/>
          <c:showSerName val="0"/>
          <c:showPercent val="0"/>
          <c:showBubbleSize val="0"/>
        </c:dLbls>
        <c:gapWidth val="150"/>
        <c:overlap val="100"/>
        <c:axId val="861266575"/>
        <c:axId val="1728255567"/>
      </c:barChart>
      <c:catAx>
        <c:axId val="8612665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60000"/>
                    <a:lumOff val="40000"/>
                  </a:schemeClr>
                </a:solidFill>
                <a:latin typeface="Agency FB" panose="020B0503020202020204" pitchFamily="34" charset="0"/>
                <a:ea typeface="+mn-ea"/>
                <a:cs typeface="+mn-cs"/>
              </a:defRPr>
            </a:pPr>
            <a:endParaRPr lang="en-US"/>
          </a:p>
        </c:txPr>
        <c:crossAx val="1728255567"/>
        <c:crosses val="autoZero"/>
        <c:auto val="1"/>
        <c:lblAlgn val="ctr"/>
        <c:lblOffset val="100"/>
        <c:noMultiLvlLbl val="0"/>
      </c:catAx>
      <c:valAx>
        <c:axId val="17282555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60000"/>
                    <a:lumOff val="40000"/>
                  </a:schemeClr>
                </a:solidFill>
                <a:latin typeface="Agency FB" panose="020B0503020202020204" pitchFamily="34" charset="0"/>
                <a:ea typeface="+mn-ea"/>
                <a:cs typeface="+mn-cs"/>
              </a:defRPr>
            </a:pPr>
            <a:endParaRPr lang="en-US"/>
          </a:p>
        </c:txPr>
        <c:crossAx val="861266575"/>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accent1">
                    <a:lumMod val="60000"/>
                    <a:lumOff val="40000"/>
                  </a:schemeClr>
                </a:solidFill>
                <a:latin typeface="Agency FB" panose="020B0503020202020204" pitchFamily="34" charset="0"/>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60000"/>
                  <a:lumOff val="40000"/>
                </a:schemeClr>
              </a:solidFill>
              <a:latin typeface="Agency FB" panose="020B0503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a:noFill/>
    </a:ln>
    <a:effectLst/>
  </c:spPr>
  <c:txPr>
    <a:bodyPr/>
    <a:lstStyle/>
    <a:p>
      <a:pPr>
        <a:defRPr>
          <a:solidFill>
            <a:schemeClr val="accent1">
              <a:lumMod val="60000"/>
              <a:lumOff val="40000"/>
            </a:schemeClr>
          </a:solidFill>
          <a:latin typeface="Agency FB" panose="020B0503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employee_data .xlsx]Charts!PivotTable6</c:name>
    <c:fmtId val="27"/>
  </c:pivotSource>
  <c:chart>
    <c:title>
      <c:tx>
        <c:rich>
          <a:bodyPr rot="0" spcFirstLastPara="1" vertOverflow="ellipsis" vert="horz" wrap="square" anchor="ctr" anchorCtr="1"/>
          <a:lstStyle/>
          <a:p>
            <a:pPr>
              <a:defRPr sz="1600" b="1" i="0" u="none" strike="noStrike" kern="1200" spc="100" baseline="0">
                <a:solidFill>
                  <a:schemeClr val="accent1">
                    <a:lumMod val="60000"/>
                    <a:lumOff val="40000"/>
                  </a:schemeClr>
                </a:solidFill>
                <a:effectLst>
                  <a:outerShdw blurRad="50800" dist="38100" dir="5400000" algn="t" rotWithShape="0">
                    <a:prstClr val="black">
                      <a:alpha val="40000"/>
                    </a:prstClr>
                  </a:outerShdw>
                </a:effectLst>
                <a:latin typeface="Agency FB" panose="020B0503020202020204" pitchFamily="34" charset="0"/>
                <a:ea typeface="+mn-ea"/>
                <a:cs typeface="+mn-cs"/>
              </a:defRPr>
            </a:pPr>
            <a:r>
              <a:rPr lang="en-US"/>
              <a:t>AVERAGE</a:t>
            </a:r>
            <a:r>
              <a:rPr lang="en-US" baseline="0"/>
              <a:t> WORK EXPERIENCE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1">
                  <a:lumMod val="60000"/>
                  <a:lumOff val="40000"/>
                </a:schemeClr>
              </a:solidFill>
              <a:effectLst>
                <a:outerShdw blurRad="50800" dist="38100" dir="5400000" algn="t" rotWithShape="0">
                  <a:prstClr val="black">
                    <a:alpha val="40000"/>
                  </a:prstClr>
                </a:outerShdw>
              </a:effectLst>
              <a:latin typeface="Agency FB" panose="020B05030202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60000"/>
                      <a:lumOff val="40000"/>
                    </a:schemeClr>
                  </a:solidFill>
                  <a:latin typeface="Agency FB" panose="020B0503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Charts!$B$91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Charts!$A$92:$A$97</c:f>
              <c:strCache>
                <c:ptCount val="5"/>
                <c:pt idx="0">
                  <c:v>Finance</c:v>
                </c:pt>
                <c:pt idx="1">
                  <c:v>HR</c:v>
                </c:pt>
                <c:pt idx="2">
                  <c:v>IT</c:v>
                </c:pt>
                <c:pt idx="3">
                  <c:v>Marketing</c:v>
                </c:pt>
                <c:pt idx="4">
                  <c:v>Sales</c:v>
                </c:pt>
              </c:strCache>
            </c:strRef>
          </c:cat>
          <c:val>
            <c:numRef>
              <c:f>Charts!$B$92:$B$97</c:f>
              <c:numCache>
                <c:formatCode>0</c:formatCode>
                <c:ptCount val="5"/>
                <c:pt idx="0">
                  <c:v>20.736842105263158</c:v>
                </c:pt>
                <c:pt idx="1">
                  <c:v>21</c:v>
                </c:pt>
                <c:pt idx="2">
                  <c:v>21.568627450980394</c:v>
                </c:pt>
                <c:pt idx="3">
                  <c:v>22.125</c:v>
                </c:pt>
                <c:pt idx="4">
                  <c:v>20.326086956521738</c:v>
                </c:pt>
              </c:numCache>
            </c:numRef>
          </c:val>
          <c:extLst>
            <c:ext xmlns:c16="http://schemas.microsoft.com/office/drawing/2014/chart" uri="{C3380CC4-5D6E-409C-BE32-E72D297353CC}">
              <c16:uniqueId val="{00000000-AEE0-467C-9AAA-2F88B96E2ECC}"/>
            </c:ext>
          </c:extLst>
        </c:ser>
        <c:dLbls>
          <c:showLegendKey val="0"/>
          <c:showVal val="0"/>
          <c:showCatName val="0"/>
          <c:showSerName val="0"/>
          <c:showPercent val="0"/>
          <c:showBubbleSize val="0"/>
        </c:dLbls>
        <c:gapWidth val="150"/>
        <c:shape val="box"/>
        <c:axId val="1831788303"/>
        <c:axId val="1067730463"/>
        <c:axId val="0"/>
      </c:bar3DChart>
      <c:catAx>
        <c:axId val="1831788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60000"/>
                    <a:lumOff val="40000"/>
                  </a:schemeClr>
                </a:solidFill>
                <a:latin typeface="Agency FB" panose="020B0503020202020204" pitchFamily="34" charset="0"/>
                <a:ea typeface="+mn-ea"/>
                <a:cs typeface="+mn-cs"/>
              </a:defRPr>
            </a:pPr>
            <a:endParaRPr lang="en-US"/>
          </a:p>
        </c:txPr>
        <c:crossAx val="1067730463"/>
        <c:crosses val="autoZero"/>
        <c:auto val="1"/>
        <c:lblAlgn val="ctr"/>
        <c:lblOffset val="100"/>
        <c:noMultiLvlLbl val="0"/>
      </c:catAx>
      <c:valAx>
        <c:axId val="1067730463"/>
        <c:scaling>
          <c:orientation val="minMax"/>
        </c:scaling>
        <c:delete val="0"/>
        <c:axPos val="b"/>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60000"/>
                    <a:lumOff val="40000"/>
                  </a:schemeClr>
                </a:solidFill>
                <a:latin typeface="Agency FB" panose="020B0503020202020204" pitchFamily="34" charset="0"/>
                <a:ea typeface="+mn-ea"/>
                <a:cs typeface="+mn-cs"/>
              </a:defRPr>
            </a:pPr>
            <a:endParaRPr lang="en-US"/>
          </a:p>
        </c:txPr>
        <c:crossAx val="1831788303"/>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accent1">
                    <a:lumMod val="60000"/>
                    <a:lumOff val="40000"/>
                  </a:schemeClr>
                </a:solidFill>
                <a:latin typeface="Agency FB" panose="020B0503020202020204" pitchFamily="34" charset="0"/>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60000"/>
                  <a:lumOff val="40000"/>
                </a:schemeClr>
              </a:solidFill>
              <a:latin typeface="Agency FB" panose="020B0503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a:noFill/>
    </a:ln>
    <a:effectLst/>
  </c:spPr>
  <c:txPr>
    <a:bodyPr/>
    <a:lstStyle/>
    <a:p>
      <a:pPr>
        <a:defRPr>
          <a:solidFill>
            <a:schemeClr val="accent1">
              <a:lumMod val="60000"/>
              <a:lumOff val="40000"/>
            </a:schemeClr>
          </a:solidFill>
          <a:latin typeface="Agency FB" panose="020B0503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svg"/><Relationship Id="rId3" Type="http://schemas.openxmlformats.org/officeDocument/2006/relationships/chart" Target="../charts/chart9.xml"/><Relationship Id="rId7" Type="http://schemas.openxmlformats.org/officeDocument/2006/relationships/image" Target="../media/image2.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emf"/><Relationship Id="rId11" Type="http://schemas.openxmlformats.org/officeDocument/2006/relationships/chart" Target="../charts/chart12.xml"/><Relationship Id="rId5" Type="http://schemas.openxmlformats.org/officeDocument/2006/relationships/chart" Target="../charts/chart11.xml"/><Relationship Id="rId10" Type="http://schemas.openxmlformats.org/officeDocument/2006/relationships/image" Target="../media/image5.svg"/><Relationship Id="rId4" Type="http://schemas.openxmlformats.org/officeDocument/2006/relationships/chart" Target="../charts/chart10.xml"/><Relationship Id="rId9"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3</xdr:col>
      <xdr:colOff>139700</xdr:colOff>
      <xdr:row>1</xdr:row>
      <xdr:rowOff>161925</xdr:rowOff>
    </xdr:from>
    <xdr:to>
      <xdr:col>8</xdr:col>
      <xdr:colOff>285750</xdr:colOff>
      <xdr:row>14</xdr:row>
      <xdr:rowOff>82550</xdr:rowOff>
    </xdr:to>
    <xdr:graphicFrame macro="">
      <xdr:nvGraphicFramePr>
        <xdr:cNvPr id="2" name="Chart 1">
          <a:extLst>
            <a:ext uri="{FF2B5EF4-FFF2-40B4-BE49-F238E27FC236}">
              <a16:creationId xmlns:a16="http://schemas.microsoft.com/office/drawing/2014/main" id="{6E6C0440-DB33-56E0-C170-6CADC1C209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101600</xdr:colOff>
      <xdr:row>10</xdr:row>
      <xdr:rowOff>95251</xdr:rowOff>
    </xdr:from>
    <xdr:ext cx="1787525" cy="1892300"/>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D77C5185-B085-6CCC-7ECE-DA318844575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1600" y="1936751"/>
              <a:ext cx="182880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4</xdr:col>
      <xdr:colOff>57150</xdr:colOff>
      <xdr:row>17</xdr:row>
      <xdr:rowOff>155575</xdr:rowOff>
    </xdr:from>
    <xdr:to>
      <xdr:col>8</xdr:col>
      <xdr:colOff>31750</xdr:colOff>
      <xdr:row>28</xdr:row>
      <xdr:rowOff>50800</xdr:rowOff>
    </xdr:to>
    <xdr:graphicFrame macro="">
      <xdr:nvGraphicFramePr>
        <xdr:cNvPr id="4" name="Chart 3">
          <a:extLst>
            <a:ext uri="{FF2B5EF4-FFF2-40B4-BE49-F238E27FC236}">
              <a16:creationId xmlns:a16="http://schemas.microsoft.com/office/drawing/2014/main" id="{8D43C581-0C0B-2BE7-BDAC-4F604359A0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6350</xdr:colOff>
      <xdr:row>28</xdr:row>
      <xdr:rowOff>155575</xdr:rowOff>
    </xdr:from>
    <xdr:to>
      <xdr:col>8</xdr:col>
      <xdr:colOff>762000</xdr:colOff>
      <xdr:row>41</xdr:row>
      <xdr:rowOff>76200</xdr:rowOff>
    </xdr:to>
    <xdr:graphicFrame macro="">
      <xdr:nvGraphicFramePr>
        <xdr:cNvPr id="5" name="Chart 4">
          <a:extLst>
            <a:ext uri="{FF2B5EF4-FFF2-40B4-BE49-F238E27FC236}">
              <a16:creationId xmlns:a16="http://schemas.microsoft.com/office/drawing/2014/main" id="{B906E7B0-AAE4-8AB4-1C99-89941C926C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133350</xdr:colOff>
      <xdr:row>41</xdr:row>
      <xdr:rowOff>73025</xdr:rowOff>
    </xdr:from>
    <xdr:to>
      <xdr:col>28</xdr:col>
      <xdr:colOff>107950</xdr:colOff>
      <xdr:row>56</xdr:row>
      <xdr:rowOff>120651</xdr:rowOff>
    </xdr:to>
    <xdr:graphicFrame macro="">
      <xdr:nvGraphicFramePr>
        <xdr:cNvPr id="7" name="Chart 6">
          <a:extLst>
            <a:ext uri="{FF2B5EF4-FFF2-40B4-BE49-F238E27FC236}">
              <a16:creationId xmlns:a16="http://schemas.microsoft.com/office/drawing/2014/main" id="{0E623B7B-CCC0-FEE3-1AD7-A319ACBAA5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234950</xdr:colOff>
      <xdr:row>50</xdr:row>
      <xdr:rowOff>152401</xdr:rowOff>
    </xdr:from>
    <xdr:ext cx="1727200" cy="1346200"/>
    <mc:AlternateContent xmlns:mc="http://schemas.openxmlformats.org/markup-compatibility/2006" xmlns:a14="http://schemas.microsoft.com/office/drawing/2010/main">
      <mc:Choice Requires="a14">
        <xdr:graphicFrame macro="">
          <xdr:nvGraphicFramePr>
            <xdr:cNvPr id="8" name="Age Group">
              <a:extLst>
                <a:ext uri="{FF2B5EF4-FFF2-40B4-BE49-F238E27FC236}">
                  <a16:creationId xmlns:a16="http://schemas.microsoft.com/office/drawing/2014/main" id="{70941517-A260-583A-B31B-27A161CFE693}"/>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234950" y="9359901"/>
              <a:ext cx="1816100" cy="1301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2</xdr:col>
      <xdr:colOff>463550</xdr:colOff>
      <xdr:row>51</xdr:row>
      <xdr:rowOff>127001</xdr:rowOff>
    </xdr:from>
    <xdr:ext cx="1714500" cy="1035050"/>
    <mc:AlternateContent xmlns:mc="http://schemas.openxmlformats.org/markup-compatibility/2006" xmlns:a14="http://schemas.microsoft.com/office/drawing/2010/main">
      <mc:Choice Requires="a14">
        <xdr:graphicFrame macro="">
          <xdr:nvGraphicFramePr>
            <xdr:cNvPr id="9" name="Is_Manager">
              <a:extLst>
                <a:ext uri="{FF2B5EF4-FFF2-40B4-BE49-F238E27FC236}">
                  <a16:creationId xmlns:a16="http://schemas.microsoft.com/office/drawing/2014/main" id="{8DCAC795-746C-3BF1-01A2-F3DA5D957F89}"/>
                </a:ext>
              </a:extLst>
            </xdr:cNvPr>
            <xdr:cNvGraphicFramePr/>
          </xdr:nvGraphicFramePr>
          <xdr:xfrm>
            <a:off x="0" y="0"/>
            <a:ext cx="0" cy="0"/>
          </xdr:xfrm>
          <a:graphic>
            <a:graphicData uri="http://schemas.microsoft.com/office/drawing/2010/slicer">
              <sle:slicer xmlns:sle="http://schemas.microsoft.com/office/drawing/2010/slicer" name="Is_Manager"/>
            </a:graphicData>
          </a:graphic>
        </xdr:graphicFrame>
      </mc:Choice>
      <mc:Fallback xmlns="">
        <xdr:sp macro="" textlink="">
          <xdr:nvSpPr>
            <xdr:cNvPr id="0" name=""/>
            <xdr:cNvSpPr>
              <a:spLocks noTextEdit="1"/>
            </xdr:cNvSpPr>
          </xdr:nvSpPr>
          <xdr:spPr>
            <a:xfrm>
              <a:off x="2457450" y="9518651"/>
              <a:ext cx="1816100" cy="996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11</xdr:col>
      <xdr:colOff>123824</xdr:colOff>
      <xdr:row>66</xdr:row>
      <xdr:rowOff>22225</xdr:rowOff>
    </xdr:from>
    <xdr:to>
      <xdr:col>27</xdr:col>
      <xdr:colOff>120649</xdr:colOff>
      <xdr:row>76</xdr:row>
      <xdr:rowOff>9525</xdr:rowOff>
    </xdr:to>
    <xdr:graphicFrame macro="">
      <xdr:nvGraphicFramePr>
        <xdr:cNvPr id="6" name="Chart 5">
          <a:extLst>
            <a:ext uri="{FF2B5EF4-FFF2-40B4-BE49-F238E27FC236}">
              <a16:creationId xmlns:a16="http://schemas.microsoft.com/office/drawing/2014/main" id="{37F59218-4B61-5107-F160-0852AF61B0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123825</xdr:colOff>
      <xdr:row>67</xdr:row>
      <xdr:rowOff>95250</xdr:rowOff>
    </xdr:from>
    <xdr:to>
      <xdr:col>4</xdr:col>
      <xdr:colOff>323850</xdr:colOff>
      <xdr:row>69</xdr:row>
      <xdr:rowOff>57150</xdr:rowOff>
    </xdr:to>
    <xdr:sp macro="" textlink="">
      <xdr:nvSpPr>
        <xdr:cNvPr id="11" name="TextBox 10">
          <a:extLst>
            <a:ext uri="{FF2B5EF4-FFF2-40B4-BE49-F238E27FC236}">
              <a16:creationId xmlns:a16="http://schemas.microsoft.com/office/drawing/2014/main" id="{62800FE0-0F27-5F6E-AD56-8DD0EC91F85B}"/>
            </a:ext>
          </a:extLst>
        </xdr:cNvPr>
        <xdr:cNvSpPr txBox="1"/>
      </xdr:nvSpPr>
      <xdr:spPr>
        <a:xfrm>
          <a:off x="876300" y="12858750"/>
          <a:ext cx="2543175"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2000" b="1">
            <a:latin typeface="Agency FB" panose="020B0503020202020204" pitchFamily="34" charset="0"/>
          </a:endParaRPr>
        </a:p>
      </xdr:txBody>
    </xdr:sp>
    <xdr:clientData/>
  </xdr:twoCellAnchor>
  <xdr:twoCellAnchor>
    <xdr:from>
      <xdr:col>2</xdr:col>
      <xdr:colOff>161925</xdr:colOff>
      <xdr:row>89</xdr:row>
      <xdr:rowOff>142875</xdr:rowOff>
    </xdr:from>
    <xdr:to>
      <xdr:col>7</xdr:col>
      <xdr:colOff>66675</xdr:colOff>
      <xdr:row>101</xdr:row>
      <xdr:rowOff>14287</xdr:rowOff>
    </xdr:to>
    <xdr:graphicFrame macro="">
      <xdr:nvGraphicFramePr>
        <xdr:cNvPr id="10" name="Chart 9">
          <a:extLst>
            <a:ext uri="{FF2B5EF4-FFF2-40B4-BE49-F238E27FC236}">
              <a16:creationId xmlns:a16="http://schemas.microsoft.com/office/drawing/2014/main" id="{993C35B1-E74A-5918-EB54-E8B7F64E6A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524572</xdr:colOff>
      <xdr:row>5</xdr:row>
      <xdr:rowOff>39184</xdr:rowOff>
    </xdr:from>
    <xdr:to>
      <xdr:col>12</xdr:col>
      <xdr:colOff>315021</xdr:colOff>
      <xdr:row>17</xdr:row>
      <xdr:rowOff>143959</xdr:rowOff>
    </xdr:to>
    <xdr:graphicFrame macro="">
      <xdr:nvGraphicFramePr>
        <xdr:cNvPr id="2" name="Chart 1">
          <a:extLst>
            <a:ext uri="{FF2B5EF4-FFF2-40B4-BE49-F238E27FC236}">
              <a16:creationId xmlns:a16="http://schemas.microsoft.com/office/drawing/2014/main" id="{A8EBF286-D6AF-4C7E-A7A9-720F508F4C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443779</xdr:colOff>
      <xdr:row>5</xdr:row>
      <xdr:rowOff>114301</xdr:rowOff>
    </xdr:from>
    <xdr:to>
      <xdr:col>19</xdr:col>
      <xdr:colOff>545947</xdr:colOff>
      <xdr:row>9</xdr:row>
      <xdr:rowOff>81312</xdr:rowOff>
    </xdr:to>
    <mc:AlternateContent xmlns:mc="http://schemas.openxmlformats.org/markup-compatibility/2006" xmlns:a14="http://schemas.microsoft.com/office/drawing/2010/main">
      <mc:Choice Requires="a14">
        <xdr:graphicFrame macro="">
          <xdr:nvGraphicFramePr>
            <xdr:cNvPr id="3" name="Department 1">
              <a:extLst>
                <a:ext uri="{FF2B5EF4-FFF2-40B4-BE49-F238E27FC236}">
                  <a16:creationId xmlns:a16="http://schemas.microsoft.com/office/drawing/2014/main" id="{75B033F3-E991-4F0D-8505-8BF94F494F9F}"/>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7717415" y="1088449"/>
              <a:ext cx="4345123" cy="7463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340886</xdr:colOff>
      <xdr:row>19</xdr:row>
      <xdr:rowOff>114145</xdr:rowOff>
    </xdr:from>
    <xdr:to>
      <xdr:col>6</xdr:col>
      <xdr:colOff>188487</xdr:colOff>
      <xdr:row>32</xdr:row>
      <xdr:rowOff>55292</xdr:rowOff>
    </xdr:to>
    <xdr:graphicFrame macro="">
      <xdr:nvGraphicFramePr>
        <xdr:cNvPr id="4" name="Chart 3">
          <a:extLst>
            <a:ext uri="{FF2B5EF4-FFF2-40B4-BE49-F238E27FC236}">
              <a16:creationId xmlns:a16="http://schemas.microsoft.com/office/drawing/2014/main" id="{3AD3E61D-B3A9-4643-8E42-ACD6969FC3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496075</xdr:colOff>
      <xdr:row>19</xdr:row>
      <xdr:rowOff>102686</xdr:rowOff>
    </xdr:from>
    <xdr:to>
      <xdr:col>12</xdr:col>
      <xdr:colOff>311924</xdr:colOff>
      <xdr:row>32</xdr:row>
      <xdr:rowOff>7436</xdr:rowOff>
    </xdr:to>
    <xdr:graphicFrame macro="">
      <xdr:nvGraphicFramePr>
        <xdr:cNvPr id="5" name="Chart 4">
          <a:extLst>
            <a:ext uri="{FF2B5EF4-FFF2-40B4-BE49-F238E27FC236}">
              <a16:creationId xmlns:a16="http://schemas.microsoft.com/office/drawing/2014/main" id="{7B319429-5A17-4FAF-A7FC-019E9458B3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325088</xdr:colOff>
      <xdr:row>33</xdr:row>
      <xdr:rowOff>114300</xdr:rowOff>
    </xdr:from>
    <xdr:to>
      <xdr:col>6</xdr:col>
      <xdr:colOff>134589</xdr:colOff>
      <xdr:row>46</xdr:row>
      <xdr:rowOff>0</xdr:rowOff>
    </xdr:to>
    <xdr:graphicFrame macro="">
      <xdr:nvGraphicFramePr>
        <xdr:cNvPr id="6" name="Chart 5">
          <a:extLst>
            <a:ext uri="{FF2B5EF4-FFF2-40B4-BE49-F238E27FC236}">
              <a16:creationId xmlns:a16="http://schemas.microsoft.com/office/drawing/2014/main" id="{903D78E4-F218-4304-81B0-BCFB957B5E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476250</xdr:colOff>
      <xdr:row>10</xdr:row>
      <xdr:rowOff>85648</xdr:rowOff>
    </xdr:from>
    <xdr:to>
      <xdr:col>19</xdr:col>
      <xdr:colOff>534330</xdr:colOff>
      <xdr:row>14</xdr:row>
      <xdr:rowOff>11616</xdr:rowOff>
    </xdr:to>
    <mc:AlternateContent xmlns:mc="http://schemas.openxmlformats.org/markup-compatibility/2006" xmlns:a14="http://schemas.microsoft.com/office/drawing/2010/main">
      <mc:Choice Requires="a14">
        <xdr:graphicFrame macro="">
          <xdr:nvGraphicFramePr>
            <xdr:cNvPr id="7" name="Age Group 1">
              <a:extLst>
                <a:ext uri="{FF2B5EF4-FFF2-40B4-BE49-F238E27FC236}">
                  <a16:creationId xmlns:a16="http://schemas.microsoft.com/office/drawing/2014/main" id="{5FC50D4C-D8EB-442C-8FB3-A42C1576693D}"/>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7749886" y="2033943"/>
              <a:ext cx="4301035" cy="7052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476250</xdr:colOff>
      <xdr:row>15</xdr:row>
      <xdr:rowOff>6660</xdr:rowOff>
    </xdr:from>
    <xdr:to>
      <xdr:col>19</xdr:col>
      <xdr:colOff>534330</xdr:colOff>
      <xdr:row>18</xdr:row>
      <xdr:rowOff>69695</xdr:rowOff>
    </xdr:to>
    <mc:AlternateContent xmlns:mc="http://schemas.openxmlformats.org/markup-compatibility/2006" xmlns:a14="http://schemas.microsoft.com/office/drawing/2010/main">
      <mc:Choice Requires="a14">
        <xdr:graphicFrame macro="">
          <xdr:nvGraphicFramePr>
            <xdr:cNvPr id="8" name="Is_Manager 1">
              <a:extLst>
                <a:ext uri="{FF2B5EF4-FFF2-40B4-BE49-F238E27FC236}">
                  <a16:creationId xmlns:a16="http://schemas.microsoft.com/office/drawing/2014/main" id="{DDBF02EC-FB85-4AA0-A759-A3C44CD2D6F1}"/>
                </a:ext>
              </a:extLst>
            </xdr:cNvPr>
            <xdr:cNvGraphicFramePr/>
          </xdr:nvGraphicFramePr>
          <xdr:xfrm>
            <a:off x="0" y="0"/>
            <a:ext cx="0" cy="0"/>
          </xdr:xfrm>
          <a:graphic>
            <a:graphicData uri="http://schemas.microsoft.com/office/drawing/2010/slicer">
              <sle:slicer xmlns:sle="http://schemas.microsoft.com/office/drawing/2010/slicer" name="Is_Manager 1"/>
            </a:graphicData>
          </a:graphic>
        </xdr:graphicFrame>
      </mc:Choice>
      <mc:Fallback xmlns="">
        <xdr:sp macro="" textlink="">
          <xdr:nvSpPr>
            <xdr:cNvPr id="0" name=""/>
            <xdr:cNvSpPr>
              <a:spLocks noTextEdit="1"/>
            </xdr:cNvSpPr>
          </xdr:nvSpPr>
          <xdr:spPr>
            <a:xfrm>
              <a:off x="7749886" y="2929103"/>
              <a:ext cx="4301035" cy="647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477024</xdr:colOff>
      <xdr:row>33</xdr:row>
      <xdr:rowOff>96179</xdr:rowOff>
    </xdr:from>
    <xdr:to>
      <xdr:col>12</xdr:col>
      <xdr:colOff>343673</xdr:colOff>
      <xdr:row>45</xdr:row>
      <xdr:rowOff>121579</xdr:rowOff>
    </xdr:to>
    <xdr:graphicFrame macro="">
      <xdr:nvGraphicFramePr>
        <xdr:cNvPr id="9" name="Chart 8">
          <a:extLst>
            <a:ext uri="{FF2B5EF4-FFF2-40B4-BE49-F238E27FC236}">
              <a16:creationId xmlns:a16="http://schemas.microsoft.com/office/drawing/2014/main" id="{11B50DC4-3C86-4B01-96EB-0C11FE649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295147</xdr:colOff>
      <xdr:row>5</xdr:row>
      <xdr:rowOff>89759</xdr:rowOff>
    </xdr:from>
    <xdr:to>
      <xdr:col>6</xdr:col>
      <xdr:colOff>57023</xdr:colOff>
      <xdr:row>17</xdr:row>
      <xdr:rowOff>111407</xdr:rowOff>
    </xdr:to>
    <xdr:sp macro="" textlink="">
      <xdr:nvSpPr>
        <xdr:cNvPr id="14" name="Rectangle 13">
          <a:extLst>
            <a:ext uri="{FF2B5EF4-FFF2-40B4-BE49-F238E27FC236}">
              <a16:creationId xmlns:a16="http://schemas.microsoft.com/office/drawing/2014/main" id="{DAAD569A-808B-4D69-AEBE-DED9E2184755}"/>
            </a:ext>
          </a:extLst>
        </xdr:cNvPr>
        <xdr:cNvSpPr/>
      </xdr:nvSpPr>
      <xdr:spPr>
        <a:xfrm>
          <a:off x="295147" y="1013826"/>
          <a:ext cx="3429712" cy="2239409"/>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xdr:from>
          <xdr:col>0</xdr:col>
          <xdr:colOff>470267</xdr:colOff>
          <xdr:row>12</xdr:row>
          <xdr:rowOff>179639</xdr:rowOff>
        </xdr:from>
        <xdr:to>
          <xdr:col>5</xdr:col>
          <xdr:colOff>396426</xdr:colOff>
          <xdr:row>16</xdr:row>
          <xdr:rowOff>43656</xdr:rowOff>
        </xdr:to>
        <xdr:pic>
          <xdr:nvPicPr>
            <xdr:cNvPr id="18" name="Picture 17">
              <a:extLst>
                <a:ext uri="{FF2B5EF4-FFF2-40B4-BE49-F238E27FC236}">
                  <a16:creationId xmlns:a16="http://schemas.microsoft.com/office/drawing/2014/main" id="{DBEFA4BC-FDD4-F2A8-5565-0A94DC03FC56}"/>
                </a:ext>
              </a:extLst>
            </xdr:cNvPr>
            <xdr:cNvPicPr>
              <a:picLocks noChangeAspect="1" noChangeArrowheads="1"/>
              <a:extLst>
                <a:ext uri="{84589F7E-364E-4C9E-8A38-B11213B215E9}">
                  <a14:cameraTool cellRange="Charts!$D$84" spid="_x0000_s1043"/>
                </a:ext>
              </a:extLst>
            </xdr:cNvPicPr>
          </xdr:nvPicPr>
          <xdr:blipFill>
            <a:blip xmlns:r="http://schemas.openxmlformats.org/officeDocument/2006/relationships" r:embed="rId6"/>
            <a:srcRect/>
            <a:stretch>
              <a:fillRect/>
            </a:stretch>
          </xdr:blipFill>
          <xdr:spPr bwMode="auto">
            <a:xfrm>
              <a:off x="470267" y="2510027"/>
              <a:ext cx="2977858" cy="64081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453895</xdr:colOff>
      <xdr:row>6</xdr:row>
      <xdr:rowOff>94618</xdr:rowOff>
    </xdr:from>
    <xdr:to>
      <xdr:col>5</xdr:col>
      <xdr:colOff>407554</xdr:colOff>
      <xdr:row>8</xdr:row>
      <xdr:rowOff>69378</xdr:rowOff>
    </xdr:to>
    <xdr:sp macro="" textlink="">
      <xdr:nvSpPr>
        <xdr:cNvPr id="23" name="TextBox 22">
          <a:extLst>
            <a:ext uri="{FF2B5EF4-FFF2-40B4-BE49-F238E27FC236}">
              <a16:creationId xmlns:a16="http://schemas.microsoft.com/office/drawing/2014/main" id="{DF006697-6A25-789A-01F8-BF0A8E3F891C}"/>
            </a:ext>
          </a:extLst>
        </xdr:cNvPr>
        <xdr:cNvSpPr txBox="1"/>
      </xdr:nvSpPr>
      <xdr:spPr>
        <a:xfrm>
          <a:off x="453895" y="1259812"/>
          <a:ext cx="3005358" cy="363158"/>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accent1">
                  <a:lumMod val="20000"/>
                  <a:lumOff val="80000"/>
                </a:schemeClr>
              </a:solidFill>
              <a:latin typeface="Agency FB" panose="020B0503020202020204" pitchFamily="34" charset="0"/>
            </a:rPr>
            <a:t>TOTAL </a:t>
          </a:r>
          <a:r>
            <a:rPr lang="en-US" sz="2400" b="1">
              <a:solidFill>
                <a:schemeClr val="accent1">
                  <a:lumMod val="20000"/>
                  <a:lumOff val="80000"/>
                </a:schemeClr>
              </a:solidFill>
              <a:latin typeface="Agency FB" panose="020B0503020202020204" pitchFamily="34" charset="0"/>
            </a:rPr>
            <a:t>SALARY</a:t>
          </a:r>
          <a:endParaRPr lang="en-US" sz="2000" b="1">
            <a:solidFill>
              <a:schemeClr val="accent1">
                <a:lumMod val="20000"/>
                <a:lumOff val="80000"/>
              </a:schemeClr>
            </a:solidFill>
            <a:latin typeface="Agency FB" panose="020B0503020202020204" pitchFamily="34" charset="0"/>
          </a:endParaRPr>
        </a:p>
      </xdr:txBody>
    </xdr:sp>
    <xdr:clientData/>
  </xdr:twoCellAnchor>
  <xdr:twoCellAnchor>
    <xdr:from>
      <xdr:col>0</xdr:col>
      <xdr:colOff>470083</xdr:colOff>
      <xdr:row>9</xdr:row>
      <xdr:rowOff>42383</xdr:rowOff>
    </xdr:from>
    <xdr:to>
      <xdr:col>5</xdr:col>
      <xdr:colOff>375178</xdr:colOff>
      <xdr:row>11</xdr:row>
      <xdr:rowOff>152739</xdr:rowOff>
    </xdr:to>
    <xdr:sp macro="" textlink="Charts!D83">
      <xdr:nvSpPr>
        <xdr:cNvPr id="24" name="TextBox 23">
          <a:extLst>
            <a:ext uri="{FF2B5EF4-FFF2-40B4-BE49-F238E27FC236}">
              <a16:creationId xmlns:a16="http://schemas.microsoft.com/office/drawing/2014/main" id="{4E6B4759-CB3B-C643-9045-85FC8CC0E478}"/>
            </a:ext>
          </a:extLst>
        </xdr:cNvPr>
        <xdr:cNvSpPr txBox="1"/>
      </xdr:nvSpPr>
      <xdr:spPr>
        <a:xfrm>
          <a:off x="470083" y="1790174"/>
          <a:ext cx="2956794" cy="498754"/>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9A2A6B-5F67-4351-828C-D7500EA0A27C}" type="TxLink">
            <a:rPr lang="en-US" sz="2800" b="0" i="0" u="none" strike="noStrike">
              <a:solidFill>
                <a:schemeClr val="bg1"/>
              </a:solidFill>
              <a:latin typeface="Bernard MT Condensed" panose="02050806060905020404" pitchFamily="18" charset="0"/>
              <a:ea typeface="Calibri"/>
              <a:cs typeface="Calibri"/>
            </a:rPr>
            <a:pPr algn="ctr"/>
            <a:t>₹41,154,039.00</a:t>
          </a:fld>
          <a:endParaRPr lang="en-US" sz="2800">
            <a:solidFill>
              <a:schemeClr val="bg1"/>
            </a:solidFill>
            <a:latin typeface="Bernard MT Condensed" panose="02050806060905020404" pitchFamily="18" charset="0"/>
          </a:endParaRPr>
        </a:p>
      </xdr:txBody>
    </xdr:sp>
    <xdr:clientData/>
  </xdr:twoCellAnchor>
  <xdr:twoCellAnchor editAs="oneCell">
    <xdr:from>
      <xdr:col>0</xdr:col>
      <xdr:colOff>348475</xdr:colOff>
      <xdr:row>0</xdr:row>
      <xdr:rowOff>0</xdr:rowOff>
    </xdr:from>
    <xdr:to>
      <xdr:col>2</xdr:col>
      <xdr:colOff>54826</xdr:colOff>
      <xdr:row>4</xdr:row>
      <xdr:rowOff>170985</xdr:rowOff>
    </xdr:to>
    <xdr:pic>
      <xdr:nvPicPr>
        <xdr:cNvPr id="38" name="Graphic 37" descr="Boardroom with solid fill">
          <a:extLst>
            <a:ext uri="{FF2B5EF4-FFF2-40B4-BE49-F238E27FC236}">
              <a16:creationId xmlns:a16="http://schemas.microsoft.com/office/drawing/2014/main" id="{AB04A0E9-941F-BC91-C7E8-E87F1AC3FEC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48475" y="0"/>
          <a:ext cx="914400" cy="914400"/>
        </a:xfrm>
        <a:prstGeom prst="rect">
          <a:avLst/>
        </a:prstGeom>
      </xdr:spPr>
    </xdr:pic>
    <xdr:clientData/>
  </xdr:twoCellAnchor>
  <xdr:twoCellAnchor editAs="oneCell">
    <xdr:from>
      <xdr:col>0</xdr:col>
      <xdr:colOff>522714</xdr:colOff>
      <xdr:row>6</xdr:row>
      <xdr:rowOff>69697</xdr:rowOff>
    </xdr:from>
    <xdr:to>
      <xdr:col>1</xdr:col>
      <xdr:colOff>325244</xdr:colOff>
      <xdr:row>8</xdr:row>
      <xdr:rowOff>104544</xdr:rowOff>
    </xdr:to>
    <xdr:pic>
      <xdr:nvPicPr>
        <xdr:cNvPr id="42" name="Graphic 41" descr="Money with solid fill">
          <a:extLst>
            <a:ext uri="{FF2B5EF4-FFF2-40B4-BE49-F238E27FC236}">
              <a16:creationId xmlns:a16="http://schemas.microsoft.com/office/drawing/2014/main" id="{27D8E7E2-21BC-4626-B840-60FF9A2633D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22714" y="1184819"/>
          <a:ext cx="406554" cy="406554"/>
        </a:xfrm>
        <a:prstGeom prst="rect">
          <a:avLst/>
        </a:prstGeom>
      </xdr:spPr>
    </xdr:pic>
    <xdr:clientData/>
  </xdr:twoCellAnchor>
  <xdr:twoCellAnchor editAs="oneCell">
    <xdr:from>
      <xdr:col>12</xdr:col>
      <xdr:colOff>466957</xdr:colOff>
      <xdr:row>19</xdr:row>
      <xdr:rowOff>26485</xdr:rowOff>
    </xdr:from>
    <xdr:to>
      <xdr:col>19</xdr:col>
      <xdr:colOff>534329</xdr:colOff>
      <xdr:row>22</xdr:row>
      <xdr:rowOff>69696</xdr:rowOff>
    </xdr:to>
    <mc:AlternateContent xmlns:mc="http://schemas.openxmlformats.org/markup-compatibility/2006" xmlns:a14="http://schemas.microsoft.com/office/drawing/2010/main">
      <mc:Choice Requires="a14">
        <xdr:graphicFrame macro="">
          <xdr:nvGraphicFramePr>
            <xdr:cNvPr id="10" name="Salary Group">
              <a:extLst>
                <a:ext uri="{FF2B5EF4-FFF2-40B4-BE49-F238E27FC236}">
                  <a16:creationId xmlns:a16="http://schemas.microsoft.com/office/drawing/2014/main" id="{7536B53B-AC93-9DB4-78BA-5108923ECC45}"/>
                </a:ext>
              </a:extLst>
            </xdr:cNvPr>
            <xdr:cNvGraphicFramePr/>
          </xdr:nvGraphicFramePr>
          <xdr:xfrm>
            <a:off x="0" y="0"/>
            <a:ext cx="0" cy="0"/>
          </xdr:xfrm>
          <a:graphic>
            <a:graphicData uri="http://schemas.microsoft.com/office/drawing/2010/slicer">
              <sle:slicer xmlns:sle="http://schemas.microsoft.com/office/drawing/2010/slicer" name="Salary Group"/>
            </a:graphicData>
          </a:graphic>
        </xdr:graphicFrame>
      </mc:Choice>
      <mc:Fallback xmlns="">
        <xdr:sp macro="" textlink="">
          <xdr:nvSpPr>
            <xdr:cNvPr id="0" name=""/>
            <xdr:cNvSpPr>
              <a:spLocks noTextEdit="1"/>
            </xdr:cNvSpPr>
          </xdr:nvSpPr>
          <xdr:spPr>
            <a:xfrm>
              <a:off x="7740593" y="3728246"/>
              <a:ext cx="4310327" cy="62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499482</xdr:colOff>
      <xdr:row>11</xdr:row>
      <xdr:rowOff>81311</xdr:rowOff>
    </xdr:from>
    <xdr:to>
      <xdr:col>9</xdr:col>
      <xdr:colOff>313628</xdr:colOff>
      <xdr:row>13</xdr:row>
      <xdr:rowOff>139390</xdr:rowOff>
    </xdr:to>
    <xdr:sp macro="" textlink="">
      <xdr:nvSpPr>
        <xdr:cNvPr id="11" name="Oval 10">
          <a:extLst>
            <a:ext uri="{FF2B5EF4-FFF2-40B4-BE49-F238E27FC236}">
              <a16:creationId xmlns:a16="http://schemas.microsoft.com/office/drawing/2014/main" id="{98E1AE85-5681-AFF4-747F-5B5F09A7D1F1}"/>
            </a:ext>
          </a:extLst>
        </xdr:cNvPr>
        <xdr:cNvSpPr/>
      </xdr:nvSpPr>
      <xdr:spPr>
        <a:xfrm>
          <a:off x="5331677" y="2125701"/>
          <a:ext cx="418171" cy="429787"/>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531571</xdr:colOff>
      <xdr:row>12</xdr:row>
      <xdr:rowOff>21648</xdr:rowOff>
    </xdr:from>
    <xdr:to>
      <xdr:col>9</xdr:col>
      <xdr:colOff>303068</xdr:colOff>
      <xdr:row>13</xdr:row>
      <xdr:rowOff>32472</xdr:rowOff>
    </xdr:to>
    <xdr:sp macro="" textlink="Charts!N6">
      <xdr:nvSpPr>
        <xdr:cNvPr id="12" name="TextBox 11">
          <a:extLst>
            <a:ext uri="{FF2B5EF4-FFF2-40B4-BE49-F238E27FC236}">
              <a16:creationId xmlns:a16="http://schemas.microsoft.com/office/drawing/2014/main" id="{44499CF6-AADD-F20F-E3DF-231D2049F336}"/>
            </a:ext>
          </a:extLst>
        </xdr:cNvPr>
        <xdr:cNvSpPr txBox="1"/>
      </xdr:nvSpPr>
      <xdr:spPr>
        <a:xfrm>
          <a:off x="5380662" y="2359603"/>
          <a:ext cx="377633" cy="205653"/>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BA43AF-21F2-4245-9E04-3D6E164AD791}" type="TxLink">
            <a:rPr lang="en-US" sz="800" b="0" i="0" u="none" strike="noStrike" cap="none" spc="0">
              <a:ln w="0"/>
              <a:solidFill>
                <a:srgbClr val="000000"/>
              </a:solidFill>
              <a:effectLst>
                <a:outerShdw blurRad="38100" dist="19050" dir="2700000" algn="tl" rotWithShape="0">
                  <a:schemeClr val="dk1">
                    <a:alpha val="40000"/>
                  </a:schemeClr>
                </a:outerShdw>
              </a:effectLst>
              <a:latin typeface="72" panose="020B0503030000000003" pitchFamily="34" charset="0"/>
              <a:ea typeface="Calibri"/>
              <a:cs typeface="72" panose="020B0503030000000003" pitchFamily="34" charset="0"/>
            </a:rPr>
            <a:pPr/>
            <a:t>243</a:t>
          </a:fld>
          <a:endParaRPr lang="en-US" sz="800" b="0" cap="none" spc="0">
            <a:ln w="0"/>
            <a:solidFill>
              <a:schemeClr val="tx1"/>
            </a:solidFill>
            <a:effectLst>
              <a:outerShdw blurRad="38100" dist="19050" dir="2700000" algn="tl" rotWithShape="0">
                <a:schemeClr val="dk1">
                  <a:alpha val="40000"/>
                </a:schemeClr>
              </a:outerShdw>
            </a:effectLst>
            <a:latin typeface="72" panose="020B0503030000000003" pitchFamily="34" charset="0"/>
            <a:cs typeface="72" panose="020B0503030000000003" pitchFamily="34" charset="0"/>
          </a:endParaRPr>
        </a:p>
      </xdr:txBody>
    </xdr:sp>
    <xdr:clientData/>
  </xdr:twoCellAnchor>
  <xdr:twoCellAnchor>
    <xdr:from>
      <xdr:col>13</xdr:col>
      <xdr:colOff>216478</xdr:colOff>
      <xdr:row>23</xdr:row>
      <xdr:rowOff>119062</xdr:rowOff>
    </xdr:from>
    <xdr:to>
      <xdr:col>18</xdr:col>
      <xdr:colOff>549421</xdr:colOff>
      <xdr:row>35</xdr:row>
      <xdr:rowOff>119063</xdr:rowOff>
    </xdr:to>
    <xdr:graphicFrame macro="">
      <xdr:nvGraphicFramePr>
        <xdr:cNvPr id="13" name="Chart 12">
          <a:extLst>
            <a:ext uri="{FF2B5EF4-FFF2-40B4-BE49-F238E27FC236}">
              <a16:creationId xmlns:a16="http://schemas.microsoft.com/office/drawing/2014/main" id="{2CBF6B8F-2024-4279-9B3B-C10ADCCA7C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7.69745821759" createdVersion="8" refreshedVersion="8" minRefreshableVersion="3" recordCount="500" xr:uid="{00000000-000A-0000-FFFF-FFFF01000000}">
  <cacheSource type="worksheet">
    <worksheetSource ref="A1:J501" sheet="Cleaned Data"/>
  </cacheSource>
  <cacheFields count="10">
    <cacheField name="Index" numFmtId="0">
      <sharedItems containsSemiMixedTypes="0" containsString="0" containsNumber="1" containsInteger="1" minValue="1" maxValue="500" count="5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sharedItems>
    </cacheField>
    <cacheField name="Employee_ID" numFmtId="0">
      <sharedItems containsSemiMixedTypes="0" containsString="0" containsNumber="1" containsInteger="1" minValue="1002" maxValue="9981" count="487">
        <n v="8794"/>
        <n v="8222"/>
        <n v="7643"/>
        <n v="2737"/>
        <n v="8557"/>
        <n v="8484"/>
        <n v="5854"/>
        <n v="6012"/>
        <n v="7462"/>
        <n v="7276"/>
        <n v="6621"/>
        <n v="7461"/>
        <n v="4181"/>
        <n v="9770"/>
        <n v="9138"/>
        <n v="7182"/>
        <n v="9901"/>
        <n v="9684"/>
        <n v="6645"/>
        <n v="4049"/>
        <n v="7857"/>
        <n v="3757"/>
        <n v="9062"/>
        <n v="4459"/>
        <n v="2444"/>
        <n v="3005"/>
        <n v="6797"/>
        <n v="5040"/>
        <n v="9477"/>
        <n v="3555"/>
        <n v="3490"/>
        <n v="3637"/>
        <n v="9629"/>
        <n v="6809"/>
        <n v="8660"/>
        <n v="3840"/>
        <n v="8354"/>
        <n v="9487"/>
        <n v="1501"/>
        <n v="3766"/>
        <n v="6867"/>
        <n v="3272"/>
        <n v="9299"/>
        <n v="3681"/>
        <n v="1311"/>
        <n v="7563"/>
        <n v="1977"/>
        <n v="2765"/>
        <n v="1385"/>
        <n v="4113"/>
        <n v="8791"/>
        <n v="7925"/>
        <n v="9867"/>
        <n v="3086"/>
        <n v="2797"/>
        <n v="2514"/>
        <n v="5404"/>
        <n v="7609"/>
        <n v="4788"/>
        <n v="1607"/>
        <n v="4605"/>
        <n v="9897"/>
        <n v="6593"/>
        <n v="2340"/>
        <n v="5328"/>
        <n v="5037"/>
        <n v="4527"/>
        <n v="6286"/>
        <n v="3154"/>
        <n v="9819"/>
        <n v="3438"/>
        <n v="8337"/>
        <n v="7233"/>
        <n v="7073"/>
        <n v="6850"/>
        <n v="7191"/>
        <n v="5208"/>
        <n v="5116"/>
        <n v="6328"/>
        <n v="3538"/>
        <n v="5826"/>
        <n v="6108"/>
        <n v="2867"/>
        <n v="4495"/>
        <n v="9750"/>
        <n v="9243"/>
        <n v="8462"/>
        <n v="8247"/>
        <n v="3054"/>
        <n v="3988"/>
        <n v="3300"/>
        <n v="9343"/>
        <n v="4183"/>
        <n v="4933"/>
        <n v="7374"/>
        <n v="1082"/>
        <n v="4204"/>
        <n v="9015"/>
        <n v="1706"/>
        <n v="3873"/>
        <n v="3229"/>
        <n v="6665"/>
        <n v="4680"/>
        <n v="1002"/>
        <n v="1137"/>
        <n v="7922"/>
        <n v="3307"/>
        <n v="8235"/>
        <n v="9113"/>
        <n v="6545"/>
        <n v="4987"/>
        <n v="9111"/>
        <n v="1061"/>
        <n v="6101"/>
        <n v="5338"/>
        <n v="3697"/>
        <n v="6704"/>
        <n v="1819"/>
        <n v="4425"/>
        <n v="2499"/>
        <n v="4801"/>
        <n v="8001"/>
        <n v="5263"/>
        <n v="7486"/>
        <n v="3717"/>
        <n v="1861"/>
        <n v="1204"/>
        <n v="8608"/>
        <n v="9278"/>
        <n v="1084"/>
        <n v="3305"/>
        <n v="1262"/>
        <n v="2478"/>
        <n v="4357"/>
        <n v="1802"/>
        <n v="4666"/>
        <n v="7327"/>
        <n v="5722"/>
        <n v="8172"/>
        <n v="2391"/>
        <n v="3536"/>
        <n v="7770"/>
        <n v="1571"/>
        <n v="2558"/>
        <n v="1197"/>
        <n v="4842"/>
        <n v="1809"/>
        <n v="2304"/>
        <n v="2759"/>
        <n v="8278"/>
        <n v="3797"/>
        <n v="1475"/>
        <n v="4165"/>
        <n v="3292"/>
        <n v="1740"/>
        <n v="5139"/>
        <n v="4522"/>
        <n v="2227"/>
        <n v="1859"/>
        <n v="9580"/>
        <n v="7166"/>
        <n v="2383"/>
        <n v="7950"/>
        <n v="5231"/>
        <n v="3709"/>
        <n v="5077"/>
        <n v="8159"/>
        <n v="2327"/>
        <n v="8869"/>
        <n v="1184"/>
        <n v="5290"/>
        <n v="3041"/>
        <n v="3995"/>
        <n v="3870"/>
        <n v="7949"/>
        <n v="3635"/>
        <n v="5679"/>
        <n v="5525"/>
        <n v="9645"/>
        <n v="9968"/>
        <n v="3953"/>
        <n v="4758"/>
        <n v="7427"/>
        <n v="8999"/>
        <n v="7658"/>
        <n v="4734"/>
        <n v="7336"/>
        <n v="4024"/>
        <n v="7752"/>
        <n v="9981"/>
        <n v="2003"/>
        <n v="9689"/>
        <n v="2869"/>
        <n v="9133"/>
        <n v="5618"/>
        <n v="2310"/>
        <n v="9025"/>
        <n v="2996"/>
        <n v="3003"/>
        <n v="7608"/>
        <n v="1121"/>
        <n v="1838"/>
        <n v="6586"/>
        <n v="4148"/>
        <n v="6227"/>
        <n v="6663"/>
        <n v="9650"/>
        <n v="6929"/>
        <n v="2863"/>
        <n v="8673"/>
        <n v="2820"/>
        <n v="6260"/>
        <n v="5238"/>
        <n v="1284"/>
        <n v="3247"/>
        <n v="1541"/>
        <n v="5004"/>
        <n v="2696"/>
        <n v="6407"/>
        <n v="2699"/>
        <n v="9383"/>
        <n v="2577"/>
        <n v="7746"/>
        <n v="5622"/>
        <n v="4002"/>
        <n v="1643"/>
        <n v="1459"/>
        <n v="3972"/>
        <n v="2714"/>
        <n v="5785"/>
        <n v="5746"/>
        <n v="9400"/>
        <n v="4676"/>
        <n v="9846"/>
        <n v="9108"/>
        <n v="3158"/>
        <n v="7361"/>
        <n v="1959"/>
        <n v="9340"/>
        <n v="9605"/>
        <n v="3361"/>
        <n v="4662"/>
        <n v="4844"/>
        <n v="6788"/>
        <n v="4450"/>
        <n v="9076"/>
        <n v="8936"/>
        <n v="3578"/>
        <n v="5624"/>
        <n v="3793"/>
        <n v="1804"/>
        <n v="5169"/>
        <n v="3417"/>
        <n v="2427"/>
        <n v="4976"/>
        <n v="2090"/>
        <n v="8575"/>
        <n v="6820"/>
        <n v="4433"/>
        <n v="2245"/>
        <n v="9271"/>
        <n v="9654"/>
        <n v="8985"/>
        <n v="2461"/>
        <n v="3151"/>
        <n v="7639"/>
        <n v="5916"/>
        <n v="9431"/>
        <n v="3881"/>
        <n v="4413"/>
        <n v="6996"/>
        <n v="9067"/>
        <n v="7346"/>
        <n v="5348"/>
        <n v="8654"/>
        <n v="6135"/>
        <n v="9855"/>
        <n v="4372"/>
        <n v="5929"/>
        <n v="3596"/>
        <n v="5750"/>
        <n v="6969"/>
        <n v="9046"/>
        <n v="4744"/>
        <n v="9279"/>
        <n v="8703"/>
        <n v="1390"/>
        <n v="3432"/>
        <n v="6674"/>
        <n v="9406"/>
        <n v="5410"/>
        <n v="1985"/>
        <n v="1586"/>
        <n v="6512"/>
        <n v="4130"/>
        <n v="1545"/>
        <n v="8876"/>
        <n v="6444"/>
        <n v="6852"/>
        <n v="7321"/>
        <n v="5556"/>
        <n v="2377"/>
        <n v="1169"/>
        <n v="3130"/>
        <n v="8296"/>
        <n v="1465"/>
        <n v="2460"/>
        <n v="5218"/>
        <n v="2582"/>
        <n v="7872"/>
        <n v="1548"/>
        <n v="6510"/>
        <n v="7404"/>
        <n v="6438"/>
        <n v="4847"/>
        <n v="7292"/>
        <n v="6925"/>
        <n v="2232"/>
        <n v="3471"/>
        <n v="3537"/>
        <n v="9164"/>
        <n v="6318"/>
        <n v="9734"/>
        <n v="5827"/>
        <n v="5708"/>
        <n v="9126"/>
        <n v="1862"/>
        <n v="3905"/>
        <n v="5504"/>
        <n v="2901"/>
        <n v="8229"/>
        <n v="9442"/>
        <n v="4796"/>
        <n v="1890"/>
        <n v="2321"/>
        <n v="6947"/>
        <n v="2401"/>
        <n v="3015"/>
        <n v="6354"/>
        <n v="9023"/>
        <n v="1279"/>
        <n v="5865"/>
        <n v="8816"/>
        <n v="7352"/>
        <n v="8570"/>
        <n v="7873"/>
        <n v="6812"/>
        <n v="6228"/>
        <n v="4009"/>
        <n v="8185"/>
        <n v="8399"/>
        <n v="4196"/>
        <n v="1944"/>
        <n v="4672"/>
        <n v="2424"/>
        <n v="3389"/>
        <n v="9010"/>
        <n v="7713"/>
        <n v="4303"/>
        <n v="7683"/>
        <n v="7362"/>
        <n v="1718"/>
        <n v="6548"/>
        <n v="6273"/>
        <n v="5076"/>
        <n v="6914"/>
        <n v="1068"/>
        <n v="1539"/>
        <n v="2565"/>
        <n v="7334"/>
        <n v="2974"/>
        <n v="2346"/>
        <n v="2800"/>
        <n v="4437"/>
        <n v="6007"/>
        <n v="2510"/>
        <n v="7197"/>
        <n v="5262"/>
        <n v="4315"/>
        <n v="8268"/>
        <n v="6197"/>
        <n v="6190"/>
        <n v="8585"/>
        <n v="4689"/>
        <n v="9048"/>
        <n v="7445"/>
        <n v="2129"/>
        <n v="2973"/>
        <n v="4334"/>
        <n v="3900"/>
        <n v="9317"/>
        <n v="7802"/>
        <n v="3189"/>
        <n v="2803"/>
        <n v="9086"/>
        <n v="9975"/>
        <n v="8328"/>
        <n v="1695"/>
        <n v="6633"/>
        <n v="5922"/>
        <n v="4364"/>
        <n v="9938"/>
        <n v="4845"/>
        <n v="8086"/>
        <n v="4245"/>
        <n v="6736"/>
        <n v="9276"/>
        <n v="4411"/>
        <n v="3693"/>
        <n v="1513"/>
        <n v="6094"/>
        <n v="9908"/>
        <n v="5991"/>
        <n v="8398"/>
        <n v="2660"/>
        <n v="7255"/>
        <n v="2687"/>
        <n v="8717"/>
        <n v="1471"/>
        <n v="3188"/>
        <n v="7435"/>
        <n v="2002"/>
        <n v="5880"/>
        <n v="7768"/>
        <n v="4407"/>
        <n v="4747"/>
        <n v="9893"/>
        <n v="1779"/>
        <n v="3531"/>
        <n v="9943"/>
        <n v="6308"/>
        <n v="4784"/>
        <n v="8665"/>
        <n v="8492"/>
        <n v="2639"/>
        <n v="3328"/>
        <n v="3255"/>
        <n v="4651"/>
        <n v="6391"/>
        <n v="9655"/>
        <n v="6856"/>
        <n v="7141"/>
        <n v="2259"/>
        <n v="5518"/>
        <n v="5641"/>
        <n v="8734"/>
        <n v="7473"/>
        <n v="8293"/>
        <n v="1014"/>
        <n v="4824"/>
        <n v="8260"/>
        <n v="8101"/>
        <n v="1488"/>
        <n v="9373"/>
        <n v="2643"/>
        <n v="1498"/>
        <n v="1515"/>
        <n v="1919"/>
        <n v="4464"/>
        <n v="6062"/>
        <n v="8609"/>
        <n v="3523"/>
        <n v="7576"/>
        <n v="9175"/>
        <n v="4299"/>
        <n v="1747"/>
        <n v="5284"/>
        <n v="3907"/>
        <n v="3543"/>
        <n v="5168"/>
        <n v="2060"/>
        <n v="5476"/>
        <n v="5336"/>
        <n v="7226"/>
        <n v="7799"/>
        <n v="1518"/>
        <n v="5175"/>
        <n v="8349"/>
        <n v="2319"/>
        <n v="5357"/>
        <n v="6309"/>
        <n v="3740"/>
        <n v="8426"/>
        <n v="9810"/>
        <n v="5396"/>
        <n v="7546"/>
        <n v="7744"/>
      </sharedItems>
    </cacheField>
    <cacheField name="Age" numFmtId="1">
      <sharedItems containsSemiMixedTypes="0" containsString="0" containsNumber="1" containsInteger="1" minValue="22" maxValue="64" count="43">
        <n v="60"/>
        <n v="28"/>
        <n v="30"/>
        <n v="38"/>
        <n v="61"/>
        <n v="31"/>
        <n v="64"/>
        <n v="33"/>
        <n v="34"/>
        <n v="23"/>
        <n v="51"/>
        <n v="43"/>
        <n v="41"/>
        <n v="25"/>
        <n v="45"/>
        <n v="56"/>
        <n v="32"/>
        <n v="49"/>
        <n v="52"/>
        <n v="47"/>
        <n v="37"/>
        <n v="54"/>
        <n v="48"/>
        <n v="62"/>
        <n v="44"/>
        <n v="40"/>
        <n v="22"/>
        <n v="42"/>
        <n v="50"/>
        <n v="46"/>
        <n v="63"/>
        <n v="53"/>
        <n v="59"/>
        <n v="36"/>
        <n v="35"/>
        <n v="26"/>
        <n v="27"/>
        <n v="58"/>
        <n v="24"/>
        <n v="29"/>
        <n v="55"/>
        <n v="57"/>
        <n v="39"/>
      </sharedItems>
    </cacheField>
    <cacheField name="Department" numFmtId="0">
      <sharedItems count="5">
        <s v="Finance"/>
        <s v="Sales"/>
        <s v="Marketing"/>
        <s v="HR"/>
        <s v="IT"/>
      </sharedItems>
    </cacheField>
    <cacheField name="Is_Manager" numFmtId="0">
      <sharedItems count="2">
        <s v="Not Manager"/>
        <s v="Manager"/>
      </sharedItems>
    </cacheField>
    <cacheField name="Join_Date" numFmtId="166">
      <sharedItems containsSemiMixedTypes="0" containsNonDate="0" containsDate="1" containsString="0" minDate="1970-01-13T00:00:00" maxDate="2025-10-02T00:00:00"/>
    </cacheField>
    <cacheField name="Experience" numFmtId="0">
      <sharedItems containsSemiMixedTypes="0" containsString="0" containsNumber="1" containsInteger="1" minValue="7" maxValue="36" count="30">
        <n v="30"/>
        <n v="13"/>
        <n v="11"/>
        <n v="20"/>
        <n v="31"/>
        <n v="14"/>
        <n v="33"/>
        <n v="15"/>
        <n v="26"/>
        <n v="17"/>
        <n v="18"/>
        <n v="29"/>
        <n v="19"/>
        <n v="27"/>
        <n v="24"/>
        <n v="16"/>
        <n v="25"/>
        <n v="22"/>
        <n v="21"/>
        <n v="12"/>
        <n v="23"/>
        <n v="32"/>
        <n v="28"/>
        <n v="34"/>
        <n v="35"/>
        <n v="9"/>
        <n v="8"/>
        <n v="10"/>
        <n v="36"/>
        <n v="7"/>
      </sharedItems>
    </cacheField>
    <cacheField name="Salary" numFmtId="164">
      <sharedItems containsSemiMixedTypes="0" containsString="0" containsNumber="1" containsInteger="1" minValue="43177" maxValue="293410" count="500">
        <n v="238668"/>
        <n v="105995"/>
        <n v="96120"/>
        <n v="153525"/>
        <n v="249192"/>
        <n v="112443"/>
        <n v="269150"/>
        <n v="99541"/>
        <n v="119128"/>
        <n v="83249"/>
        <n v="201259"/>
        <n v="144477"/>
        <n v="148126"/>
        <n v="237357"/>
        <n v="158446"/>
        <n v="124601"/>
        <n v="209673"/>
        <n v="88325"/>
        <n v="117761"/>
        <n v="193695"/>
        <n v="223718"/>
        <n v="136877"/>
        <n v="201355"/>
        <n v="197155"/>
        <n v="181254"/>
        <n v="197009"/>
        <n v="201648"/>
        <n v="186028"/>
        <n v="201094"/>
        <n v="192419"/>
        <n v="103102"/>
        <n v="248038"/>
        <n v="178656"/>
        <n v="149831"/>
        <n v="137180"/>
        <n v="173071"/>
        <n v="177939"/>
        <n v="115812"/>
        <n v="159633"/>
        <n v="132927"/>
        <n v="208357"/>
        <n v="98088"/>
        <n v="162526"/>
        <n v="182251"/>
        <n v="222715"/>
        <n v="133435"/>
        <n v="130398"/>
        <n v="164496"/>
        <n v="158595"/>
        <n v="236259"/>
        <n v="174905"/>
        <n v="161581"/>
        <n v="210865"/>
        <n v="187209"/>
        <n v="216483"/>
        <n v="241732"/>
        <n v="100085"/>
        <n v="196599"/>
        <n v="203758"/>
        <n v="254771"/>
        <n v="221350"/>
        <n v="227840"/>
        <n v="118126"/>
        <n v="124811"/>
        <n v="138134"/>
        <n v="127124"/>
        <n v="151056"/>
        <n v="135177"/>
        <n v="99214"/>
        <n v="133866"/>
        <n v="127570"/>
        <n v="140250"/>
        <n v="212800"/>
        <n v="191346"/>
        <n v="160278"/>
        <n v="217985"/>
        <n v="172798"/>
        <n v="120869"/>
        <n v="186135"/>
        <n v="107313"/>
        <n v="189726"/>
        <n v="171530"/>
        <n v="271935"/>
        <n v="234900"/>
        <n v="181290"/>
        <n v="246555"/>
        <n v="191660"/>
        <n v="111511"/>
        <n v="148439"/>
        <n v="120884"/>
        <n v="94805"/>
        <n v="97135"/>
        <n v="220820"/>
        <n v="118043"/>
        <n v="223315"/>
        <n v="246738"/>
        <n v="191082"/>
        <n v="225302"/>
        <n v="142093"/>
        <n v="156162"/>
        <n v="134816"/>
        <n v="122745"/>
        <n v="186453"/>
        <n v="199561"/>
        <n v="204293"/>
        <n v="242531"/>
        <n v="103111"/>
        <n v="237496"/>
        <n v="193765"/>
        <n v="240281"/>
        <n v="176659"/>
        <n v="244973"/>
        <n v="160566"/>
        <n v="177312"/>
        <n v="92967"/>
        <n v="208044"/>
        <n v="225723"/>
        <n v="208426"/>
        <n v="279946"/>
        <n v="129970"/>
        <n v="225408"/>
        <n v="125760"/>
        <n v="92056"/>
        <n v="186546"/>
        <n v="215978"/>
        <n v="185892"/>
        <n v="158986"/>
        <n v="202823"/>
        <n v="198549"/>
        <n v="142300"/>
        <n v="232577"/>
        <n v="196293"/>
        <n v="185268"/>
        <n v="166636"/>
        <n v="94300"/>
        <n v="198827"/>
        <n v="190600"/>
        <n v="187430"/>
        <n v="166573"/>
        <n v="176961"/>
        <n v="206014"/>
        <n v="167653"/>
        <n v="138491"/>
        <n v="113663"/>
        <n v="195286"/>
        <n v="215637"/>
        <n v="170164"/>
        <n v="240851"/>
        <n v="78650"/>
        <n v="101767"/>
        <n v="237787"/>
        <n v="120289"/>
        <n v="229854"/>
        <n v="140462"/>
        <n v="137966"/>
        <n v="198685"/>
        <n v="97639"/>
        <n v="213234"/>
        <n v="223033"/>
        <n v="234249"/>
        <n v="172147"/>
        <n v="110715"/>
        <n v="181074"/>
        <n v="172103"/>
        <n v="121991"/>
        <n v="174787"/>
        <n v="200675"/>
        <n v="144719"/>
        <n v="198755"/>
        <n v="150320"/>
        <n v="196697"/>
        <n v="133598"/>
        <n v="152005"/>
        <n v="127810"/>
        <n v="245029"/>
        <n v="159567"/>
        <n v="165488"/>
        <n v="144373"/>
        <n v="209113"/>
        <n v="230159"/>
        <n v="242948"/>
        <n v="181627"/>
        <n v="185708"/>
        <n v="111947"/>
        <n v="201058"/>
        <n v="168451"/>
        <n v="57732"/>
        <n v="197413"/>
        <n v="121722"/>
        <n v="152895"/>
        <n v="117925"/>
        <n v="193844"/>
        <n v="121879"/>
        <n v="176397"/>
        <n v="250658"/>
        <n v="176752"/>
        <n v="123319"/>
        <n v="258573"/>
        <n v="150946"/>
        <n v="114361"/>
        <n v="257944"/>
        <n v="91127"/>
        <n v="273400"/>
        <n v="196459"/>
        <n v="132705"/>
        <n v="192494"/>
        <n v="164835"/>
        <n v="126137"/>
        <n v="200225"/>
        <n v="195891"/>
        <n v="156207"/>
        <n v="135734"/>
        <n v="109179"/>
        <n v="197005"/>
        <n v="89207"/>
        <n v="138009"/>
        <n v="233480"/>
        <n v="206244"/>
        <n v="207865"/>
        <n v="160057"/>
        <n v="135082"/>
        <n v="207482"/>
        <n v="144587"/>
        <n v="179459"/>
        <n v="235895"/>
        <n v="134299"/>
        <n v="134991"/>
        <n v="88841"/>
        <n v="184491"/>
        <n v="154542"/>
        <n v="158115"/>
        <n v="113899"/>
        <n v="85343"/>
        <n v="139873"/>
        <n v="246725"/>
        <n v="226201"/>
        <n v="212105"/>
        <n v="149179"/>
        <n v="115898"/>
        <n v="245207"/>
        <n v="163924"/>
        <n v="172224"/>
        <n v="144990"/>
        <n v="170676"/>
        <n v="181837"/>
        <n v="133509"/>
        <n v="234402"/>
        <n v="165971"/>
        <n v="105359"/>
        <n v="94383"/>
        <n v="198528"/>
        <n v="242369"/>
        <n v="182226"/>
        <n v="88117"/>
        <n v="242515"/>
        <n v="281861"/>
        <n v="242118"/>
        <n v="209490"/>
        <n v="89796"/>
        <n v="133309"/>
        <n v="242055"/>
        <n v="216452"/>
        <n v="175322"/>
        <n v="143008"/>
        <n v="188585"/>
        <n v="170616"/>
        <n v="76240"/>
        <n v="126615"/>
        <n v="229698"/>
        <n v="187784"/>
        <n v="138129"/>
        <n v="67144"/>
        <n v="239949"/>
        <n v="179365"/>
        <n v="187838"/>
        <n v="132450"/>
        <n v="205100"/>
        <n v="116747"/>
        <n v="163267"/>
        <n v="201417"/>
        <n v="81020"/>
        <n v="223674"/>
        <n v="210860"/>
        <n v="166151"/>
        <n v="221768"/>
        <n v="228336"/>
        <n v="83287"/>
        <n v="107405"/>
        <n v="108456"/>
        <n v="266769"/>
        <n v="220626"/>
        <n v="87783"/>
        <n v="222819"/>
        <n v="156891"/>
        <n v="166454"/>
        <n v="219860"/>
        <n v="119827"/>
        <n v="200843"/>
        <n v="134412"/>
        <n v="232716"/>
        <n v="103933"/>
        <n v="92047"/>
        <n v="172886"/>
        <n v="138827"/>
        <n v="180896"/>
        <n v="130190"/>
        <n v="215277"/>
        <n v="206424"/>
        <n v="183184"/>
        <n v="214559"/>
        <n v="108976"/>
        <n v="219409"/>
        <n v="227772"/>
        <n v="165170"/>
        <n v="234199"/>
        <n v="212050"/>
        <n v="249856"/>
        <n v="149464"/>
        <n v="124970"/>
        <n v="256982"/>
        <n v="243928"/>
        <n v="189606"/>
        <n v="124879"/>
        <n v="121239"/>
        <n v="75895"/>
        <n v="176472"/>
        <n v="212809"/>
        <n v="163828"/>
        <n v="108619"/>
        <n v="152992"/>
        <n v="154462"/>
        <n v="143605"/>
        <n v="117870"/>
        <n v="223902"/>
        <n v="115875"/>
        <n v="187168"/>
        <n v="265624"/>
        <n v="259400"/>
        <n v="113486"/>
        <n v="102162"/>
        <n v="200331"/>
        <n v="143134"/>
        <n v="152367"/>
        <n v="241831"/>
        <n v="174392"/>
        <n v="166153"/>
        <n v="116114"/>
        <n v="215298"/>
        <n v="161836"/>
        <n v="156464"/>
        <n v="161728"/>
        <n v="108822"/>
        <n v="242129"/>
        <n v="208439"/>
        <n v="132859"/>
        <n v="197639"/>
        <n v="78632"/>
        <n v="80817"/>
        <n v="169224"/>
        <n v="69736"/>
        <n v="172041"/>
        <n v="175269"/>
        <n v="96587"/>
        <n v="228121"/>
        <n v="219082"/>
        <n v="112660"/>
        <n v="192120"/>
        <n v="138446"/>
        <n v="248320"/>
        <n v="156711"/>
        <n v="226499"/>
        <n v="207647"/>
        <n v="150282"/>
        <n v="293410"/>
        <n v="66124"/>
        <n v="162792"/>
        <n v="169701"/>
        <n v="89021"/>
        <n v="253048"/>
        <n v="43177"/>
        <n v="103682"/>
        <n v="129947"/>
        <n v="227252"/>
        <n v="127305"/>
        <n v="184578"/>
        <n v="189031"/>
        <n v="242312"/>
        <n v="199412"/>
        <n v="181466"/>
        <n v="249787"/>
        <n v="75579"/>
        <n v="110956"/>
        <n v="205417"/>
        <n v="196804"/>
        <n v="171101"/>
        <n v="103203"/>
        <n v="120056"/>
        <n v="136030"/>
        <n v="225695"/>
        <n v="140411"/>
        <n v="169472"/>
        <n v="94602"/>
        <n v="176423"/>
        <n v="173046"/>
        <n v="82230"/>
        <n v="65079"/>
        <n v="194961"/>
        <n v="192619"/>
        <n v="123888"/>
        <n v="225741"/>
        <n v="221040"/>
        <n v="133650"/>
        <n v="93339"/>
        <n v="163242"/>
        <n v="126451"/>
        <n v="91619"/>
        <n v="171600"/>
        <n v="75749"/>
        <n v="146689"/>
        <n v="141159"/>
        <n v="143584"/>
        <n v="92136"/>
        <n v="204041"/>
        <n v="227146"/>
        <n v="107232"/>
        <n v="222824"/>
        <n v="162790"/>
        <n v="150069"/>
        <n v="172707"/>
        <n v="200491"/>
        <n v="247653"/>
        <n v="191755"/>
        <n v="125131"/>
        <n v="164265"/>
        <n v="109701"/>
        <n v="238477"/>
        <n v="193938"/>
        <n v="156976"/>
        <n v="229200"/>
        <n v="194985"/>
        <n v="150665"/>
        <n v="187991"/>
        <n v="202446"/>
        <n v="203933"/>
        <n v="234277"/>
        <n v="225715"/>
        <n v="75812"/>
        <n v="68134"/>
        <n v="155985"/>
        <n v="222685"/>
        <n v="220500"/>
        <n v="126388"/>
        <n v="169212"/>
        <n v="186015"/>
        <n v="217544"/>
        <n v="128767"/>
        <n v="216812"/>
        <n v="174984"/>
        <n v="192274"/>
        <n v="216683"/>
        <n v="184887"/>
        <n v="160580"/>
        <n v="245031"/>
        <n v="148735"/>
        <n v="150934"/>
        <n v="249071"/>
        <n v="235550"/>
        <n v="151124"/>
        <n v="140001"/>
        <n v="78834"/>
        <n v="82592"/>
        <n v="115688"/>
        <n v="263818"/>
        <n v="178139"/>
        <n v="194575"/>
        <n v="213467"/>
        <n v="155006"/>
        <n v="192646"/>
        <n v="232123"/>
        <n v="229395"/>
        <n v="202850"/>
        <n v="85536"/>
        <n v="172003"/>
        <n v="235111"/>
        <n v="248177"/>
        <n v="199358"/>
        <n v="189242"/>
        <n v="115170"/>
        <n v="285886"/>
        <n v="177664"/>
        <n v="113358"/>
        <n v="115037"/>
        <n v="183906"/>
        <n v="176978"/>
        <n v="257256"/>
        <n v="126088"/>
        <n v="118094"/>
        <n v="131208"/>
        <n v="224502"/>
        <n v="114758"/>
      </sharedItems>
    </cacheField>
    <cacheField name="Age Group" numFmtId="0">
      <sharedItems count="3">
        <s v="50+"/>
        <s v="Under 30"/>
        <s v="30-50"/>
      </sharedItems>
    </cacheField>
    <cacheField name="Salary Group" numFmtId="0">
      <sharedItems count="3">
        <s v="2 Lakhs +"/>
        <s v="1-2 Lakhs"/>
        <s v="Below 1 Lakhs"/>
      </sharedItems>
    </cacheField>
  </cacheFields>
  <extLst>
    <ext xmlns:x14="http://schemas.microsoft.com/office/spreadsheetml/2009/9/main" uri="{725AE2AE-9491-48be-B2B4-4EB974FC3084}">
      <x14:pivotCacheDefinition pivotCacheId="11703159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d v="1994-03-24T00:00:00"/>
    <x v="0"/>
    <x v="0"/>
    <x v="0"/>
    <x v="0"/>
  </r>
  <r>
    <x v="1"/>
    <x v="1"/>
    <x v="1"/>
    <x v="1"/>
    <x v="1"/>
    <d v="1979-12-08T00:00:00"/>
    <x v="1"/>
    <x v="1"/>
    <x v="1"/>
    <x v="1"/>
  </r>
  <r>
    <x v="2"/>
    <x v="2"/>
    <x v="2"/>
    <x v="2"/>
    <x v="0"/>
    <d v="1998-09-25T00:00:00"/>
    <x v="2"/>
    <x v="2"/>
    <x v="2"/>
    <x v="2"/>
  </r>
  <r>
    <x v="3"/>
    <x v="3"/>
    <x v="3"/>
    <x v="3"/>
    <x v="1"/>
    <d v="2011-11-23T00:00:00"/>
    <x v="3"/>
    <x v="3"/>
    <x v="2"/>
    <x v="1"/>
  </r>
  <r>
    <x v="4"/>
    <x v="4"/>
    <x v="4"/>
    <x v="3"/>
    <x v="1"/>
    <d v="1976-10-08T00:00:00"/>
    <x v="4"/>
    <x v="4"/>
    <x v="0"/>
    <x v="0"/>
  </r>
  <r>
    <x v="5"/>
    <x v="5"/>
    <x v="5"/>
    <x v="2"/>
    <x v="0"/>
    <d v="1982-06-07T00:00:00"/>
    <x v="5"/>
    <x v="5"/>
    <x v="2"/>
    <x v="1"/>
  </r>
  <r>
    <x v="6"/>
    <x v="6"/>
    <x v="6"/>
    <x v="0"/>
    <x v="0"/>
    <d v="1981-11-12T00:00:00"/>
    <x v="6"/>
    <x v="6"/>
    <x v="0"/>
    <x v="0"/>
  </r>
  <r>
    <x v="7"/>
    <x v="7"/>
    <x v="7"/>
    <x v="0"/>
    <x v="0"/>
    <d v="1983-09-28T00:00:00"/>
    <x v="1"/>
    <x v="7"/>
    <x v="2"/>
    <x v="2"/>
  </r>
  <r>
    <x v="8"/>
    <x v="8"/>
    <x v="8"/>
    <x v="0"/>
    <x v="0"/>
    <d v="2021-01-22T00:00:00"/>
    <x v="7"/>
    <x v="8"/>
    <x v="2"/>
    <x v="1"/>
  </r>
  <r>
    <x v="9"/>
    <x v="9"/>
    <x v="9"/>
    <x v="0"/>
    <x v="0"/>
    <d v="2014-10-03T00:00:00"/>
    <x v="2"/>
    <x v="9"/>
    <x v="1"/>
    <x v="2"/>
  </r>
  <r>
    <x v="10"/>
    <x v="10"/>
    <x v="10"/>
    <x v="4"/>
    <x v="1"/>
    <d v="1974-03-12T00:00:00"/>
    <x v="8"/>
    <x v="10"/>
    <x v="0"/>
    <x v="0"/>
  </r>
  <r>
    <x v="11"/>
    <x v="11"/>
    <x v="11"/>
    <x v="4"/>
    <x v="1"/>
    <d v="1991-06-08T00:00:00"/>
    <x v="9"/>
    <x v="11"/>
    <x v="2"/>
    <x v="1"/>
  </r>
  <r>
    <x v="12"/>
    <x v="12"/>
    <x v="7"/>
    <x v="0"/>
    <x v="1"/>
    <d v="2015-04-22T00:00:00"/>
    <x v="10"/>
    <x v="12"/>
    <x v="2"/>
    <x v="1"/>
  </r>
  <r>
    <x v="13"/>
    <x v="13"/>
    <x v="6"/>
    <x v="2"/>
    <x v="0"/>
    <d v="1984-08-07T00:00:00"/>
    <x v="11"/>
    <x v="13"/>
    <x v="0"/>
    <x v="0"/>
  </r>
  <r>
    <x v="14"/>
    <x v="14"/>
    <x v="12"/>
    <x v="0"/>
    <x v="1"/>
    <d v="2004-11-17T00:00:00"/>
    <x v="12"/>
    <x v="14"/>
    <x v="2"/>
    <x v="1"/>
  </r>
  <r>
    <x v="15"/>
    <x v="15"/>
    <x v="2"/>
    <x v="2"/>
    <x v="1"/>
    <d v="1982-11-04T00:00:00"/>
    <x v="7"/>
    <x v="15"/>
    <x v="2"/>
    <x v="1"/>
  </r>
  <r>
    <x v="16"/>
    <x v="16"/>
    <x v="0"/>
    <x v="4"/>
    <x v="1"/>
    <d v="2001-03-22T00:00:00"/>
    <x v="13"/>
    <x v="16"/>
    <x v="0"/>
    <x v="0"/>
  </r>
  <r>
    <x v="17"/>
    <x v="17"/>
    <x v="13"/>
    <x v="0"/>
    <x v="0"/>
    <d v="2023-11-23T00:00:00"/>
    <x v="2"/>
    <x v="17"/>
    <x v="1"/>
    <x v="2"/>
  </r>
  <r>
    <x v="18"/>
    <x v="18"/>
    <x v="2"/>
    <x v="2"/>
    <x v="0"/>
    <d v="2002-05-02T00:00:00"/>
    <x v="5"/>
    <x v="18"/>
    <x v="2"/>
    <x v="1"/>
  </r>
  <r>
    <x v="19"/>
    <x v="19"/>
    <x v="14"/>
    <x v="4"/>
    <x v="1"/>
    <d v="1992-10-09T00:00:00"/>
    <x v="14"/>
    <x v="19"/>
    <x v="2"/>
    <x v="1"/>
  </r>
  <r>
    <x v="20"/>
    <x v="20"/>
    <x v="15"/>
    <x v="0"/>
    <x v="1"/>
    <d v="1973-05-13T00:00:00"/>
    <x v="13"/>
    <x v="20"/>
    <x v="0"/>
    <x v="0"/>
  </r>
  <r>
    <x v="21"/>
    <x v="21"/>
    <x v="16"/>
    <x v="0"/>
    <x v="1"/>
    <d v="2009-10-31T00:00:00"/>
    <x v="15"/>
    <x v="21"/>
    <x v="2"/>
    <x v="1"/>
  </r>
  <r>
    <x v="22"/>
    <x v="22"/>
    <x v="17"/>
    <x v="1"/>
    <x v="1"/>
    <d v="2013-07-29T00:00:00"/>
    <x v="14"/>
    <x v="22"/>
    <x v="2"/>
    <x v="0"/>
  </r>
  <r>
    <x v="23"/>
    <x v="23"/>
    <x v="18"/>
    <x v="3"/>
    <x v="0"/>
    <d v="2014-06-12T00:00:00"/>
    <x v="16"/>
    <x v="23"/>
    <x v="0"/>
    <x v="1"/>
  </r>
  <r>
    <x v="24"/>
    <x v="24"/>
    <x v="11"/>
    <x v="4"/>
    <x v="1"/>
    <d v="1985-02-13T00:00:00"/>
    <x v="17"/>
    <x v="24"/>
    <x v="2"/>
    <x v="1"/>
  </r>
  <r>
    <x v="25"/>
    <x v="25"/>
    <x v="15"/>
    <x v="1"/>
    <x v="1"/>
    <d v="2009-03-13T00:00:00"/>
    <x v="14"/>
    <x v="25"/>
    <x v="0"/>
    <x v="1"/>
  </r>
  <r>
    <x v="26"/>
    <x v="26"/>
    <x v="19"/>
    <x v="4"/>
    <x v="1"/>
    <d v="1996-03-20T00:00:00"/>
    <x v="8"/>
    <x v="26"/>
    <x v="2"/>
    <x v="0"/>
  </r>
  <r>
    <x v="27"/>
    <x v="27"/>
    <x v="20"/>
    <x v="3"/>
    <x v="1"/>
    <d v="1972-02-13T00:00:00"/>
    <x v="17"/>
    <x v="27"/>
    <x v="2"/>
    <x v="1"/>
  </r>
  <r>
    <x v="28"/>
    <x v="28"/>
    <x v="21"/>
    <x v="4"/>
    <x v="1"/>
    <d v="2008-03-10T00:00:00"/>
    <x v="8"/>
    <x v="28"/>
    <x v="0"/>
    <x v="0"/>
  </r>
  <r>
    <x v="29"/>
    <x v="29"/>
    <x v="22"/>
    <x v="1"/>
    <x v="1"/>
    <d v="1980-07-01T00:00:00"/>
    <x v="16"/>
    <x v="29"/>
    <x v="2"/>
    <x v="1"/>
  </r>
  <r>
    <x v="30"/>
    <x v="30"/>
    <x v="1"/>
    <x v="4"/>
    <x v="1"/>
    <d v="2004-09-02T00:00:00"/>
    <x v="1"/>
    <x v="30"/>
    <x v="1"/>
    <x v="1"/>
  </r>
  <r>
    <x v="31"/>
    <x v="31"/>
    <x v="23"/>
    <x v="2"/>
    <x v="1"/>
    <d v="1976-01-13T00:00:00"/>
    <x v="4"/>
    <x v="31"/>
    <x v="0"/>
    <x v="0"/>
  </r>
  <r>
    <x v="32"/>
    <x v="32"/>
    <x v="24"/>
    <x v="2"/>
    <x v="1"/>
    <d v="1994-07-22T00:00:00"/>
    <x v="17"/>
    <x v="32"/>
    <x v="2"/>
    <x v="1"/>
  </r>
  <r>
    <x v="33"/>
    <x v="33"/>
    <x v="25"/>
    <x v="4"/>
    <x v="1"/>
    <d v="1976-08-09T00:00:00"/>
    <x v="12"/>
    <x v="33"/>
    <x v="2"/>
    <x v="1"/>
  </r>
  <r>
    <x v="34"/>
    <x v="34"/>
    <x v="8"/>
    <x v="3"/>
    <x v="1"/>
    <d v="2019-03-03T00:00:00"/>
    <x v="9"/>
    <x v="34"/>
    <x v="2"/>
    <x v="1"/>
  </r>
  <r>
    <x v="35"/>
    <x v="35"/>
    <x v="14"/>
    <x v="1"/>
    <x v="1"/>
    <d v="1972-11-15T00:00:00"/>
    <x v="17"/>
    <x v="35"/>
    <x v="2"/>
    <x v="1"/>
  </r>
  <r>
    <x v="36"/>
    <x v="36"/>
    <x v="14"/>
    <x v="0"/>
    <x v="0"/>
    <d v="1971-09-28T00:00:00"/>
    <x v="17"/>
    <x v="36"/>
    <x v="2"/>
    <x v="1"/>
  </r>
  <r>
    <x v="37"/>
    <x v="37"/>
    <x v="20"/>
    <x v="1"/>
    <x v="0"/>
    <d v="2024-08-06T00:00:00"/>
    <x v="5"/>
    <x v="37"/>
    <x v="2"/>
    <x v="1"/>
  </r>
  <r>
    <x v="38"/>
    <x v="38"/>
    <x v="19"/>
    <x v="2"/>
    <x v="1"/>
    <d v="1988-09-17T00:00:00"/>
    <x v="18"/>
    <x v="38"/>
    <x v="2"/>
    <x v="1"/>
  </r>
  <r>
    <x v="39"/>
    <x v="39"/>
    <x v="2"/>
    <x v="2"/>
    <x v="1"/>
    <d v="1977-06-23T00:00:00"/>
    <x v="15"/>
    <x v="39"/>
    <x v="2"/>
    <x v="1"/>
  </r>
  <r>
    <x v="40"/>
    <x v="40"/>
    <x v="19"/>
    <x v="1"/>
    <x v="0"/>
    <d v="2008-08-10T00:00:00"/>
    <x v="8"/>
    <x v="40"/>
    <x v="2"/>
    <x v="0"/>
  </r>
  <r>
    <x v="41"/>
    <x v="41"/>
    <x v="26"/>
    <x v="1"/>
    <x v="1"/>
    <d v="1994-09-16T00:00:00"/>
    <x v="19"/>
    <x v="41"/>
    <x v="1"/>
    <x v="2"/>
  </r>
  <r>
    <x v="42"/>
    <x v="42"/>
    <x v="14"/>
    <x v="1"/>
    <x v="0"/>
    <d v="2021-02-04T00:00:00"/>
    <x v="3"/>
    <x v="42"/>
    <x v="2"/>
    <x v="1"/>
  </r>
  <r>
    <x v="43"/>
    <x v="43"/>
    <x v="22"/>
    <x v="0"/>
    <x v="1"/>
    <d v="1974-02-20T00:00:00"/>
    <x v="20"/>
    <x v="43"/>
    <x v="2"/>
    <x v="1"/>
  </r>
  <r>
    <x v="44"/>
    <x v="44"/>
    <x v="10"/>
    <x v="1"/>
    <x v="1"/>
    <d v="2022-04-21T00:00:00"/>
    <x v="13"/>
    <x v="44"/>
    <x v="0"/>
    <x v="0"/>
  </r>
  <r>
    <x v="45"/>
    <x v="45"/>
    <x v="5"/>
    <x v="0"/>
    <x v="0"/>
    <d v="1982-01-11T00:00:00"/>
    <x v="9"/>
    <x v="45"/>
    <x v="2"/>
    <x v="1"/>
  </r>
  <r>
    <x v="46"/>
    <x v="46"/>
    <x v="3"/>
    <x v="0"/>
    <x v="0"/>
    <d v="2019-05-11T00:00:00"/>
    <x v="10"/>
    <x v="46"/>
    <x v="2"/>
    <x v="1"/>
  </r>
  <r>
    <x v="47"/>
    <x v="47"/>
    <x v="25"/>
    <x v="1"/>
    <x v="1"/>
    <d v="2000-01-14T00:00:00"/>
    <x v="18"/>
    <x v="47"/>
    <x v="2"/>
    <x v="1"/>
  </r>
  <r>
    <x v="48"/>
    <x v="48"/>
    <x v="27"/>
    <x v="0"/>
    <x v="0"/>
    <d v="2006-09-01T00:00:00"/>
    <x v="12"/>
    <x v="48"/>
    <x v="2"/>
    <x v="1"/>
  </r>
  <r>
    <x v="49"/>
    <x v="49"/>
    <x v="6"/>
    <x v="2"/>
    <x v="0"/>
    <d v="2012-06-09T00:00:00"/>
    <x v="0"/>
    <x v="49"/>
    <x v="0"/>
    <x v="0"/>
  </r>
  <r>
    <x v="50"/>
    <x v="50"/>
    <x v="28"/>
    <x v="1"/>
    <x v="1"/>
    <d v="1975-04-15T00:00:00"/>
    <x v="17"/>
    <x v="50"/>
    <x v="2"/>
    <x v="1"/>
  </r>
  <r>
    <x v="51"/>
    <x v="51"/>
    <x v="24"/>
    <x v="3"/>
    <x v="0"/>
    <d v="1994-12-18T00:00:00"/>
    <x v="18"/>
    <x v="51"/>
    <x v="2"/>
    <x v="1"/>
  </r>
  <r>
    <x v="52"/>
    <x v="52"/>
    <x v="28"/>
    <x v="4"/>
    <x v="1"/>
    <d v="1987-10-22T00:00:00"/>
    <x v="13"/>
    <x v="52"/>
    <x v="2"/>
    <x v="0"/>
  </r>
  <r>
    <x v="53"/>
    <x v="53"/>
    <x v="29"/>
    <x v="4"/>
    <x v="1"/>
    <d v="2020-02-08T00:00:00"/>
    <x v="20"/>
    <x v="53"/>
    <x v="2"/>
    <x v="1"/>
  </r>
  <r>
    <x v="54"/>
    <x v="54"/>
    <x v="10"/>
    <x v="4"/>
    <x v="1"/>
    <d v="2013-11-07T00:00:00"/>
    <x v="13"/>
    <x v="54"/>
    <x v="0"/>
    <x v="0"/>
  </r>
  <r>
    <x v="55"/>
    <x v="55"/>
    <x v="30"/>
    <x v="4"/>
    <x v="0"/>
    <d v="2003-03-12T00:00:00"/>
    <x v="4"/>
    <x v="55"/>
    <x v="0"/>
    <x v="0"/>
  </r>
  <r>
    <x v="56"/>
    <x v="56"/>
    <x v="26"/>
    <x v="4"/>
    <x v="1"/>
    <d v="1974-05-21T00:00:00"/>
    <x v="1"/>
    <x v="56"/>
    <x v="1"/>
    <x v="1"/>
  </r>
  <r>
    <x v="57"/>
    <x v="57"/>
    <x v="22"/>
    <x v="3"/>
    <x v="0"/>
    <d v="1990-04-11T00:00:00"/>
    <x v="14"/>
    <x v="57"/>
    <x v="2"/>
    <x v="1"/>
  </r>
  <r>
    <x v="58"/>
    <x v="58"/>
    <x v="31"/>
    <x v="1"/>
    <x v="0"/>
    <d v="1987-06-20T00:00:00"/>
    <x v="16"/>
    <x v="58"/>
    <x v="0"/>
    <x v="0"/>
  </r>
  <r>
    <x v="59"/>
    <x v="59"/>
    <x v="32"/>
    <x v="4"/>
    <x v="1"/>
    <d v="1976-10-19T00:00:00"/>
    <x v="21"/>
    <x v="59"/>
    <x v="0"/>
    <x v="0"/>
  </r>
  <r>
    <x v="60"/>
    <x v="60"/>
    <x v="31"/>
    <x v="0"/>
    <x v="1"/>
    <d v="2008-09-18T00:00:00"/>
    <x v="22"/>
    <x v="60"/>
    <x v="0"/>
    <x v="0"/>
  </r>
  <r>
    <x v="61"/>
    <x v="61"/>
    <x v="0"/>
    <x v="0"/>
    <x v="0"/>
    <d v="2004-08-21T00:00:00"/>
    <x v="22"/>
    <x v="61"/>
    <x v="0"/>
    <x v="0"/>
  </r>
  <r>
    <x v="62"/>
    <x v="62"/>
    <x v="2"/>
    <x v="0"/>
    <x v="0"/>
    <d v="2008-09-24T00:00:00"/>
    <x v="7"/>
    <x v="62"/>
    <x v="2"/>
    <x v="1"/>
  </r>
  <r>
    <x v="63"/>
    <x v="63"/>
    <x v="16"/>
    <x v="1"/>
    <x v="0"/>
    <d v="1976-04-01T00:00:00"/>
    <x v="7"/>
    <x v="63"/>
    <x v="2"/>
    <x v="1"/>
  </r>
  <r>
    <x v="64"/>
    <x v="64"/>
    <x v="8"/>
    <x v="4"/>
    <x v="0"/>
    <d v="2005-06-25T00:00:00"/>
    <x v="9"/>
    <x v="64"/>
    <x v="2"/>
    <x v="1"/>
  </r>
  <r>
    <x v="65"/>
    <x v="65"/>
    <x v="33"/>
    <x v="0"/>
    <x v="0"/>
    <d v="2000-05-25T00:00:00"/>
    <x v="15"/>
    <x v="65"/>
    <x v="2"/>
    <x v="1"/>
  </r>
  <r>
    <x v="66"/>
    <x v="66"/>
    <x v="24"/>
    <x v="1"/>
    <x v="0"/>
    <d v="1976-05-08T00:00:00"/>
    <x v="12"/>
    <x v="66"/>
    <x v="2"/>
    <x v="1"/>
  </r>
  <r>
    <x v="67"/>
    <x v="67"/>
    <x v="25"/>
    <x v="0"/>
    <x v="0"/>
    <d v="2002-06-21T00:00:00"/>
    <x v="10"/>
    <x v="67"/>
    <x v="2"/>
    <x v="1"/>
  </r>
  <r>
    <x v="68"/>
    <x v="68"/>
    <x v="5"/>
    <x v="2"/>
    <x v="1"/>
    <d v="1997-01-28T00:00:00"/>
    <x v="19"/>
    <x v="68"/>
    <x v="2"/>
    <x v="2"/>
  </r>
  <r>
    <x v="69"/>
    <x v="69"/>
    <x v="34"/>
    <x v="1"/>
    <x v="0"/>
    <d v="2019-08-04T00:00:00"/>
    <x v="9"/>
    <x v="69"/>
    <x v="2"/>
    <x v="1"/>
  </r>
  <r>
    <x v="70"/>
    <x v="70"/>
    <x v="16"/>
    <x v="4"/>
    <x v="1"/>
    <d v="1974-06-04T00:00:00"/>
    <x v="15"/>
    <x v="70"/>
    <x v="2"/>
    <x v="1"/>
  </r>
  <r>
    <x v="71"/>
    <x v="71"/>
    <x v="34"/>
    <x v="3"/>
    <x v="1"/>
    <d v="1991-05-11T00:00:00"/>
    <x v="12"/>
    <x v="71"/>
    <x v="2"/>
    <x v="1"/>
  </r>
  <r>
    <x v="72"/>
    <x v="72"/>
    <x v="10"/>
    <x v="1"/>
    <x v="0"/>
    <d v="1992-02-07T00:00:00"/>
    <x v="13"/>
    <x v="72"/>
    <x v="0"/>
    <x v="0"/>
  </r>
  <r>
    <x v="73"/>
    <x v="73"/>
    <x v="28"/>
    <x v="3"/>
    <x v="0"/>
    <d v="1992-09-04T00:00:00"/>
    <x v="20"/>
    <x v="73"/>
    <x v="2"/>
    <x v="1"/>
  </r>
  <r>
    <x v="74"/>
    <x v="74"/>
    <x v="33"/>
    <x v="2"/>
    <x v="1"/>
    <d v="1997-03-24T00:00:00"/>
    <x v="3"/>
    <x v="74"/>
    <x v="2"/>
    <x v="1"/>
  </r>
  <r>
    <x v="75"/>
    <x v="75"/>
    <x v="18"/>
    <x v="1"/>
    <x v="1"/>
    <d v="1983-05-10T00:00:00"/>
    <x v="13"/>
    <x v="75"/>
    <x v="0"/>
    <x v="0"/>
  </r>
  <r>
    <x v="76"/>
    <x v="76"/>
    <x v="33"/>
    <x v="4"/>
    <x v="1"/>
    <d v="2022-12-16T00:00:00"/>
    <x v="3"/>
    <x v="76"/>
    <x v="2"/>
    <x v="1"/>
  </r>
  <r>
    <x v="77"/>
    <x v="77"/>
    <x v="35"/>
    <x v="4"/>
    <x v="0"/>
    <d v="1971-02-23T00:00:00"/>
    <x v="7"/>
    <x v="77"/>
    <x v="1"/>
    <x v="1"/>
  </r>
  <r>
    <x v="78"/>
    <x v="78"/>
    <x v="14"/>
    <x v="1"/>
    <x v="1"/>
    <d v="1980-02-29T00:00:00"/>
    <x v="20"/>
    <x v="78"/>
    <x v="2"/>
    <x v="1"/>
  </r>
  <r>
    <x v="79"/>
    <x v="79"/>
    <x v="36"/>
    <x v="3"/>
    <x v="0"/>
    <d v="2013-06-16T00:00:00"/>
    <x v="19"/>
    <x v="79"/>
    <x v="1"/>
    <x v="1"/>
  </r>
  <r>
    <x v="80"/>
    <x v="80"/>
    <x v="22"/>
    <x v="3"/>
    <x v="0"/>
    <d v="1974-11-01T00:00:00"/>
    <x v="20"/>
    <x v="80"/>
    <x v="2"/>
    <x v="1"/>
  </r>
  <r>
    <x v="81"/>
    <x v="81"/>
    <x v="14"/>
    <x v="3"/>
    <x v="1"/>
    <d v="2012-11-24T00:00:00"/>
    <x v="18"/>
    <x v="81"/>
    <x v="2"/>
    <x v="1"/>
  </r>
  <r>
    <x v="82"/>
    <x v="82"/>
    <x v="6"/>
    <x v="2"/>
    <x v="0"/>
    <d v="2015-08-11T00:00:00"/>
    <x v="23"/>
    <x v="82"/>
    <x v="0"/>
    <x v="0"/>
  </r>
  <r>
    <x v="83"/>
    <x v="83"/>
    <x v="31"/>
    <x v="2"/>
    <x v="1"/>
    <d v="1976-07-21T00:00:00"/>
    <x v="11"/>
    <x v="83"/>
    <x v="0"/>
    <x v="0"/>
  </r>
  <r>
    <x v="84"/>
    <x v="84"/>
    <x v="17"/>
    <x v="0"/>
    <x v="0"/>
    <d v="2008-09-26T00:00:00"/>
    <x v="20"/>
    <x v="84"/>
    <x v="2"/>
    <x v="1"/>
  </r>
  <r>
    <x v="85"/>
    <x v="85"/>
    <x v="0"/>
    <x v="1"/>
    <x v="0"/>
    <d v="1996-04-10T00:00:00"/>
    <x v="4"/>
    <x v="85"/>
    <x v="0"/>
    <x v="0"/>
  </r>
  <r>
    <x v="86"/>
    <x v="86"/>
    <x v="10"/>
    <x v="0"/>
    <x v="1"/>
    <d v="1997-04-13T00:00:00"/>
    <x v="14"/>
    <x v="86"/>
    <x v="0"/>
    <x v="1"/>
  </r>
  <r>
    <x v="87"/>
    <x v="87"/>
    <x v="26"/>
    <x v="1"/>
    <x v="1"/>
    <d v="2004-05-21T00:00:00"/>
    <x v="5"/>
    <x v="87"/>
    <x v="1"/>
    <x v="1"/>
  </r>
  <r>
    <x v="88"/>
    <x v="88"/>
    <x v="11"/>
    <x v="4"/>
    <x v="1"/>
    <d v="2020-11-15T00:00:00"/>
    <x v="12"/>
    <x v="88"/>
    <x v="2"/>
    <x v="1"/>
  </r>
  <r>
    <x v="89"/>
    <x v="89"/>
    <x v="5"/>
    <x v="3"/>
    <x v="1"/>
    <d v="1989-07-21T00:00:00"/>
    <x v="7"/>
    <x v="89"/>
    <x v="2"/>
    <x v="1"/>
  </r>
  <r>
    <x v="90"/>
    <x v="90"/>
    <x v="35"/>
    <x v="1"/>
    <x v="1"/>
    <d v="2025-10-01T00:00:00"/>
    <x v="19"/>
    <x v="90"/>
    <x v="1"/>
    <x v="2"/>
  </r>
  <r>
    <x v="91"/>
    <x v="91"/>
    <x v="36"/>
    <x v="1"/>
    <x v="0"/>
    <d v="1981-12-31T00:00:00"/>
    <x v="1"/>
    <x v="91"/>
    <x v="1"/>
    <x v="2"/>
  </r>
  <r>
    <x v="92"/>
    <x v="92"/>
    <x v="18"/>
    <x v="4"/>
    <x v="0"/>
    <d v="2006-04-28T00:00:00"/>
    <x v="11"/>
    <x v="92"/>
    <x v="0"/>
    <x v="0"/>
  </r>
  <r>
    <x v="93"/>
    <x v="93"/>
    <x v="5"/>
    <x v="2"/>
    <x v="1"/>
    <d v="2013-12-21T00:00:00"/>
    <x v="5"/>
    <x v="93"/>
    <x v="2"/>
    <x v="1"/>
  </r>
  <r>
    <x v="94"/>
    <x v="94"/>
    <x v="18"/>
    <x v="3"/>
    <x v="0"/>
    <d v="2009-02-12T00:00:00"/>
    <x v="13"/>
    <x v="94"/>
    <x v="0"/>
    <x v="0"/>
  </r>
  <r>
    <x v="95"/>
    <x v="95"/>
    <x v="4"/>
    <x v="0"/>
    <x v="1"/>
    <d v="2004-01-02T00:00:00"/>
    <x v="0"/>
    <x v="95"/>
    <x v="0"/>
    <x v="0"/>
  </r>
  <r>
    <x v="96"/>
    <x v="96"/>
    <x v="18"/>
    <x v="0"/>
    <x v="0"/>
    <d v="2018-08-10T00:00:00"/>
    <x v="14"/>
    <x v="96"/>
    <x v="0"/>
    <x v="1"/>
  </r>
  <r>
    <x v="97"/>
    <x v="97"/>
    <x v="32"/>
    <x v="0"/>
    <x v="0"/>
    <d v="2017-08-07T00:00:00"/>
    <x v="22"/>
    <x v="97"/>
    <x v="0"/>
    <x v="0"/>
  </r>
  <r>
    <x v="98"/>
    <x v="98"/>
    <x v="25"/>
    <x v="4"/>
    <x v="0"/>
    <d v="2023-09-18T00:00:00"/>
    <x v="10"/>
    <x v="98"/>
    <x v="2"/>
    <x v="1"/>
  </r>
  <r>
    <x v="99"/>
    <x v="99"/>
    <x v="29"/>
    <x v="4"/>
    <x v="1"/>
    <d v="2005-07-08T00:00:00"/>
    <x v="12"/>
    <x v="99"/>
    <x v="2"/>
    <x v="1"/>
  </r>
  <r>
    <x v="100"/>
    <x v="100"/>
    <x v="34"/>
    <x v="1"/>
    <x v="1"/>
    <d v="2025-01-13T00:00:00"/>
    <x v="9"/>
    <x v="100"/>
    <x v="2"/>
    <x v="1"/>
  </r>
  <r>
    <x v="101"/>
    <x v="101"/>
    <x v="25"/>
    <x v="3"/>
    <x v="0"/>
    <d v="1985-08-29T00:00:00"/>
    <x v="7"/>
    <x v="101"/>
    <x v="2"/>
    <x v="1"/>
  </r>
  <r>
    <x v="102"/>
    <x v="102"/>
    <x v="25"/>
    <x v="3"/>
    <x v="1"/>
    <d v="1984-06-06T00:00:00"/>
    <x v="14"/>
    <x v="102"/>
    <x v="2"/>
    <x v="1"/>
  </r>
  <r>
    <x v="103"/>
    <x v="103"/>
    <x v="22"/>
    <x v="4"/>
    <x v="0"/>
    <d v="2013-07-13T00:00:00"/>
    <x v="16"/>
    <x v="103"/>
    <x v="2"/>
    <x v="1"/>
  </r>
  <r>
    <x v="104"/>
    <x v="104"/>
    <x v="21"/>
    <x v="2"/>
    <x v="1"/>
    <d v="1991-04-21T00:00:00"/>
    <x v="16"/>
    <x v="104"/>
    <x v="0"/>
    <x v="0"/>
  </r>
  <r>
    <x v="105"/>
    <x v="105"/>
    <x v="37"/>
    <x v="3"/>
    <x v="1"/>
    <d v="1975-09-24T00:00:00"/>
    <x v="0"/>
    <x v="105"/>
    <x v="0"/>
    <x v="0"/>
  </r>
  <r>
    <x v="106"/>
    <x v="106"/>
    <x v="13"/>
    <x v="4"/>
    <x v="1"/>
    <d v="1987-05-06T00:00:00"/>
    <x v="19"/>
    <x v="106"/>
    <x v="1"/>
    <x v="1"/>
  </r>
  <r>
    <x v="107"/>
    <x v="107"/>
    <x v="31"/>
    <x v="3"/>
    <x v="1"/>
    <d v="1997-06-27T00:00:00"/>
    <x v="0"/>
    <x v="107"/>
    <x v="0"/>
    <x v="0"/>
  </r>
  <r>
    <x v="108"/>
    <x v="108"/>
    <x v="28"/>
    <x v="1"/>
    <x v="0"/>
    <d v="2022-08-10T00:00:00"/>
    <x v="14"/>
    <x v="108"/>
    <x v="2"/>
    <x v="1"/>
  </r>
  <r>
    <x v="109"/>
    <x v="109"/>
    <x v="30"/>
    <x v="3"/>
    <x v="0"/>
    <d v="1996-11-20T00:00:00"/>
    <x v="0"/>
    <x v="109"/>
    <x v="0"/>
    <x v="0"/>
  </r>
  <r>
    <x v="110"/>
    <x v="110"/>
    <x v="21"/>
    <x v="0"/>
    <x v="0"/>
    <d v="1978-08-21T00:00:00"/>
    <x v="17"/>
    <x v="110"/>
    <x v="0"/>
    <x v="1"/>
  </r>
  <r>
    <x v="111"/>
    <x v="111"/>
    <x v="37"/>
    <x v="4"/>
    <x v="1"/>
    <d v="1985-05-02T00:00:00"/>
    <x v="0"/>
    <x v="111"/>
    <x v="0"/>
    <x v="0"/>
  </r>
  <r>
    <x v="112"/>
    <x v="112"/>
    <x v="20"/>
    <x v="1"/>
    <x v="0"/>
    <d v="1984-10-06T00:00:00"/>
    <x v="3"/>
    <x v="112"/>
    <x v="2"/>
    <x v="1"/>
  </r>
  <r>
    <x v="113"/>
    <x v="113"/>
    <x v="11"/>
    <x v="4"/>
    <x v="1"/>
    <d v="2007-08-10T00:00:00"/>
    <x v="20"/>
    <x v="113"/>
    <x v="2"/>
    <x v="1"/>
  </r>
  <r>
    <x v="114"/>
    <x v="114"/>
    <x v="38"/>
    <x v="2"/>
    <x v="0"/>
    <d v="2016-08-06T00:00:00"/>
    <x v="19"/>
    <x v="114"/>
    <x v="1"/>
    <x v="2"/>
  </r>
  <r>
    <x v="115"/>
    <x v="115"/>
    <x v="29"/>
    <x v="2"/>
    <x v="0"/>
    <d v="2002-08-20T00:00:00"/>
    <x v="16"/>
    <x v="115"/>
    <x v="2"/>
    <x v="0"/>
  </r>
  <r>
    <x v="116"/>
    <x v="116"/>
    <x v="0"/>
    <x v="0"/>
    <x v="0"/>
    <d v="2010-01-12T00:00:00"/>
    <x v="11"/>
    <x v="116"/>
    <x v="0"/>
    <x v="0"/>
  </r>
  <r>
    <x v="117"/>
    <x v="117"/>
    <x v="4"/>
    <x v="4"/>
    <x v="0"/>
    <d v="2012-02-05T00:00:00"/>
    <x v="8"/>
    <x v="117"/>
    <x v="0"/>
    <x v="0"/>
  </r>
  <r>
    <x v="118"/>
    <x v="118"/>
    <x v="4"/>
    <x v="4"/>
    <x v="0"/>
    <d v="1978-10-23T00:00:00"/>
    <x v="24"/>
    <x v="118"/>
    <x v="0"/>
    <x v="0"/>
  </r>
  <r>
    <x v="119"/>
    <x v="119"/>
    <x v="39"/>
    <x v="0"/>
    <x v="1"/>
    <d v="2006-10-24T00:00:00"/>
    <x v="15"/>
    <x v="119"/>
    <x v="1"/>
    <x v="1"/>
  </r>
  <r>
    <x v="120"/>
    <x v="120"/>
    <x v="21"/>
    <x v="3"/>
    <x v="0"/>
    <d v="1985-04-10T00:00:00"/>
    <x v="22"/>
    <x v="120"/>
    <x v="0"/>
    <x v="0"/>
  </r>
  <r>
    <x v="121"/>
    <x v="121"/>
    <x v="16"/>
    <x v="4"/>
    <x v="0"/>
    <d v="2006-05-14T00:00:00"/>
    <x v="15"/>
    <x v="121"/>
    <x v="2"/>
    <x v="1"/>
  </r>
  <r>
    <x v="122"/>
    <x v="122"/>
    <x v="1"/>
    <x v="1"/>
    <x v="1"/>
    <d v="2006-05-04T00:00:00"/>
    <x v="19"/>
    <x v="122"/>
    <x v="1"/>
    <x v="2"/>
  </r>
  <r>
    <x v="123"/>
    <x v="123"/>
    <x v="14"/>
    <x v="4"/>
    <x v="1"/>
    <d v="2017-12-26T00:00:00"/>
    <x v="20"/>
    <x v="123"/>
    <x v="2"/>
    <x v="1"/>
  </r>
  <r>
    <x v="124"/>
    <x v="124"/>
    <x v="37"/>
    <x v="1"/>
    <x v="0"/>
    <d v="2020-05-06T00:00:00"/>
    <x v="8"/>
    <x v="124"/>
    <x v="0"/>
    <x v="0"/>
  </r>
  <r>
    <x v="125"/>
    <x v="125"/>
    <x v="22"/>
    <x v="2"/>
    <x v="1"/>
    <d v="1979-04-07T00:00:00"/>
    <x v="16"/>
    <x v="125"/>
    <x v="2"/>
    <x v="1"/>
  </r>
  <r>
    <x v="126"/>
    <x v="126"/>
    <x v="25"/>
    <x v="3"/>
    <x v="0"/>
    <d v="1981-11-12T00:00:00"/>
    <x v="18"/>
    <x v="126"/>
    <x v="2"/>
    <x v="1"/>
  </r>
  <r>
    <x v="127"/>
    <x v="127"/>
    <x v="40"/>
    <x v="0"/>
    <x v="1"/>
    <d v="2018-03-05T00:00:00"/>
    <x v="8"/>
    <x v="127"/>
    <x v="0"/>
    <x v="0"/>
  </r>
  <r>
    <x v="128"/>
    <x v="128"/>
    <x v="15"/>
    <x v="3"/>
    <x v="0"/>
    <d v="1984-08-29T00:00:00"/>
    <x v="16"/>
    <x v="128"/>
    <x v="0"/>
    <x v="1"/>
  </r>
  <r>
    <x v="129"/>
    <x v="129"/>
    <x v="16"/>
    <x v="1"/>
    <x v="1"/>
    <d v="2018-04-20T00:00:00"/>
    <x v="9"/>
    <x v="129"/>
    <x v="2"/>
    <x v="1"/>
  </r>
  <r>
    <x v="130"/>
    <x v="130"/>
    <x v="30"/>
    <x v="4"/>
    <x v="1"/>
    <d v="2016-09-17T00:00:00"/>
    <x v="11"/>
    <x v="130"/>
    <x v="0"/>
    <x v="0"/>
  </r>
  <r>
    <x v="131"/>
    <x v="131"/>
    <x v="17"/>
    <x v="0"/>
    <x v="1"/>
    <d v="2003-05-02T00:00:00"/>
    <x v="14"/>
    <x v="131"/>
    <x v="2"/>
    <x v="1"/>
  </r>
  <r>
    <x v="132"/>
    <x v="132"/>
    <x v="25"/>
    <x v="2"/>
    <x v="0"/>
    <d v="2010-06-04T00:00:00"/>
    <x v="20"/>
    <x v="132"/>
    <x v="2"/>
    <x v="1"/>
  </r>
  <r>
    <x v="133"/>
    <x v="133"/>
    <x v="12"/>
    <x v="0"/>
    <x v="0"/>
    <d v="2017-04-09T00:00:00"/>
    <x v="3"/>
    <x v="133"/>
    <x v="2"/>
    <x v="1"/>
  </r>
  <r>
    <x v="134"/>
    <x v="134"/>
    <x v="26"/>
    <x v="0"/>
    <x v="0"/>
    <d v="1989-05-10T00:00:00"/>
    <x v="19"/>
    <x v="134"/>
    <x v="1"/>
    <x v="2"/>
  </r>
  <r>
    <x v="135"/>
    <x v="135"/>
    <x v="17"/>
    <x v="2"/>
    <x v="1"/>
    <d v="2014-08-07T00:00:00"/>
    <x v="16"/>
    <x v="135"/>
    <x v="2"/>
    <x v="1"/>
  </r>
  <r>
    <x v="136"/>
    <x v="136"/>
    <x v="24"/>
    <x v="0"/>
    <x v="1"/>
    <d v="1983-03-26T00:00:00"/>
    <x v="16"/>
    <x v="136"/>
    <x v="2"/>
    <x v="1"/>
  </r>
  <r>
    <x v="137"/>
    <x v="137"/>
    <x v="11"/>
    <x v="3"/>
    <x v="1"/>
    <d v="1983-08-25T00:00:00"/>
    <x v="14"/>
    <x v="137"/>
    <x v="2"/>
    <x v="1"/>
  </r>
  <r>
    <x v="138"/>
    <x v="138"/>
    <x v="14"/>
    <x v="0"/>
    <x v="0"/>
    <d v="2014-04-17T00:00:00"/>
    <x v="18"/>
    <x v="138"/>
    <x v="2"/>
    <x v="1"/>
  </r>
  <r>
    <x v="139"/>
    <x v="139"/>
    <x v="17"/>
    <x v="3"/>
    <x v="1"/>
    <d v="1990-11-04T00:00:00"/>
    <x v="17"/>
    <x v="139"/>
    <x v="2"/>
    <x v="1"/>
  </r>
  <r>
    <x v="140"/>
    <x v="140"/>
    <x v="21"/>
    <x v="4"/>
    <x v="1"/>
    <d v="2008-02-23T00:00:00"/>
    <x v="16"/>
    <x v="140"/>
    <x v="0"/>
    <x v="0"/>
  </r>
  <r>
    <x v="141"/>
    <x v="141"/>
    <x v="11"/>
    <x v="1"/>
    <x v="1"/>
    <d v="1975-10-27T00:00:00"/>
    <x v="18"/>
    <x v="141"/>
    <x v="2"/>
    <x v="1"/>
  </r>
  <r>
    <x v="142"/>
    <x v="142"/>
    <x v="8"/>
    <x v="4"/>
    <x v="0"/>
    <d v="2003-03-06T00:00:00"/>
    <x v="9"/>
    <x v="142"/>
    <x v="2"/>
    <x v="1"/>
  </r>
  <r>
    <x v="143"/>
    <x v="143"/>
    <x v="39"/>
    <x v="2"/>
    <x v="1"/>
    <d v="1976-01-13T00:00:00"/>
    <x v="5"/>
    <x v="143"/>
    <x v="1"/>
    <x v="1"/>
  </r>
  <r>
    <x v="144"/>
    <x v="144"/>
    <x v="41"/>
    <x v="1"/>
    <x v="1"/>
    <d v="2006-05-02T00:00:00"/>
    <x v="16"/>
    <x v="144"/>
    <x v="0"/>
    <x v="1"/>
  </r>
  <r>
    <x v="145"/>
    <x v="145"/>
    <x v="40"/>
    <x v="1"/>
    <x v="1"/>
    <d v="1998-03-29T00:00:00"/>
    <x v="13"/>
    <x v="145"/>
    <x v="0"/>
    <x v="0"/>
  </r>
  <r>
    <x v="146"/>
    <x v="146"/>
    <x v="11"/>
    <x v="0"/>
    <x v="1"/>
    <d v="2001-07-06T00:00:00"/>
    <x v="18"/>
    <x v="146"/>
    <x v="2"/>
    <x v="1"/>
  </r>
  <r>
    <x v="147"/>
    <x v="147"/>
    <x v="41"/>
    <x v="2"/>
    <x v="0"/>
    <d v="1991-09-13T00:00:00"/>
    <x v="0"/>
    <x v="147"/>
    <x v="0"/>
    <x v="0"/>
  </r>
  <r>
    <x v="148"/>
    <x v="148"/>
    <x v="38"/>
    <x v="4"/>
    <x v="0"/>
    <d v="2017-12-13T00:00:00"/>
    <x v="25"/>
    <x v="148"/>
    <x v="1"/>
    <x v="2"/>
  </r>
  <r>
    <x v="149"/>
    <x v="149"/>
    <x v="13"/>
    <x v="1"/>
    <x v="1"/>
    <d v="1984-09-11T00:00:00"/>
    <x v="1"/>
    <x v="149"/>
    <x v="1"/>
    <x v="1"/>
  </r>
  <r>
    <x v="150"/>
    <x v="150"/>
    <x v="41"/>
    <x v="2"/>
    <x v="0"/>
    <d v="2000-03-18T00:00:00"/>
    <x v="0"/>
    <x v="150"/>
    <x v="0"/>
    <x v="0"/>
  </r>
  <r>
    <x v="151"/>
    <x v="151"/>
    <x v="7"/>
    <x v="2"/>
    <x v="0"/>
    <d v="1978-08-17T00:00:00"/>
    <x v="7"/>
    <x v="151"/>
    <x v="2"/>
    <x v="1"/>
  </r>
  <r>
    <x v="152"/>
    <x v="152"/>
    <x v="32"/>
    <x v="3"/>
    <x v="1"/>
    <d v="1971-05-16T00:00:00"/>
    <x v="11"/>
    <x v="152"/>
    <x v="0"/>
    <x v="0"/>
  </r>
  <r>
    <x v="153"/>
    <x v="153"/>
    <x v="7"/>
    <x v="4"/>
    <x v="0"/>
    <d v="2017-07-07T00:00:00"/>
    <x v="15"/>
    <x v="153"/>
    <x v="2"/>
    <x v="1"/>
  </r>
  <r>
    <x v="154"/>
    <x v="154"/>
    <x v="34"/>
    <x v="1"/>
    <x v="1"/>
    <d v="2005-01-29T00:00:00"/>
    <x v="9"/>
    <x v="154"/>
    <x v="2"/>
    <x v="1"/>
  </r>
  <r>
    <x v="155"/>
    <x v="155"/>
    <x v="22"/>
    <x v="3"/>
    <x v="1"/>
    <d v="1984-04-19T00:00:00"/>
    <x v="8"/>
    <x v="155"/>
    <x v="2"/>
    <x v="1"/>
  </r>
  <r>
    <x v="156"/>
    <x v="156"/>
    <x v="5"/>
    <x v="2"/>
    <x v="0"/>
    <d v="1997-03-28T00:00:00"/>
    <x v="1"/>
    <x v="156"/>
    <x v="2"/>
    <x v="2"/>
  </r>
  <r>
    <x v="157"/>
    <x v="157"/>
    <x v="10"/>
    <x v="1"/>
    <x v="1"/>
    <d v="1977-09-24T00:00:00"/>
    <x v="13"/>
    <x v="157"/>
    <x v="0"/>
    <x v="0"/>
  </r>
  <r>
    <x v="158"/>
    <x v="158"/>
    <x v="37"/>
    <x v="0"/>
    <x v="1"/>
    <d v="2016-06-02T00:00:00"/>
    <x v="13"/>
    <x v="158"/>
    <x v="0"/>
    <x v="0"/>
  </r>
  <r>
    <x v="159"/>
    <x v="159"/>
    <x v="41"/>
    <x v="0"/>
    <x v="0"/>
    <d v="2002-09-03T00:00:00"/>
    <x v="0"/>
    <x v="159"/>
    <x v="0"/>
    <x v="0"/>
  </r>
  <r>
    <x v="160"/>
    <x v="160"/>
    <x v="14"/>
    <x v="3"/>
    <x v="1"/>
    <d v="1975-08-10T00:00:00"/>
    <x v="18"/>
    <x v="160"/>
    <x v="2"/>
    <x v="1"/>
  </r>
  <r>
    <x v="161"/>
    <x v="161"/>
    <x v="34"/>
    <x v="3"/>
    <x v="1"/>
    <d v="1973-08-21T00:00:00"/>
    <x v="5"/>
    <x v="161"/>
    <x v="2"/>
    <x v="1"/>
  </r>
  <r>
    <x v="162"/>
    <x v="162"/>
    <x v="28"/>
    <x v="4"/>
    <x v="1"/>
    <d v="1992-03-05T00:00:00"/>
    <x v="20"/>
    <x v="162"/>
    <x v="2"/>
    <x v="1"/>
  </r>
  <r>
    <x v="163"/>
    <x v="163"/>
    <x v="22"/>
    <x v="4"/>
    <x v="1"/>
    <d v="2009-12-18T00:00:00"/>
    <x v="17"/>
    <x v="163"/>
    <x v="2"/>
    <x v="1"/>
  </r>
  <r>
    <x v="164"/>
    <x v="164"/>
    <x v="16"/>
    <x v="4"/>
    <x v="0"/>
    <d v="1982-02-01T00:00:00"/>
    <x v="7"/>
    <x v="164"/>
    <x v="2"/>
    <x v="1"/>
  </r>
  <r>
    <x v="165"/>
    <x v="165"/>
    <x v="17"/>
    <x v="0"/>
    <x v="0"/>
    <d v="1977-11-25T00:00:00"/>
    <x v="3"/>
    <x v="165"/>
    <x v="2"/>
    <x v="1"/>
  </r>
  <r>
    <x v="166"/>
    <x v="166"/>
    <x v="18"/>
    <x v="4"/>
    <x v="0"/>
    <d v="2006-09-27T00:00:00"/>
    <x v="16"/>
    <x v="166"/>
    <x v="0"/>
    <x v="0"/>
  </r>
  <r>
    <x v="167"/>
    <x v="167"/>
    <x v="34"/>
    <x v="3"/>
    <x v="0"/>
    <d v="1972-05-21T00:00:00"/>
    <x v="9"/>
    <x v="167"/>
    <x v="2"/>
    <x v="1"/>
  </r>
  <r>
    <x v="168"/>
    <x v="168"/>
    <x v="10"/>
    <x v="2"/>
    <x v="0"/>
    <d v="2008-09-27T00:00:00"/>
    <x v="16"/>
    <x v="168"/>
    <x v="0"/>
    <x v="1"/>
  </r>
  <r>
    <x v="169"/>
    <x v="169"/>
    <x v="24"/>
    <x v="3"/>
    <x v="1"/>
    <d v="1998-08-05T00:00:00"/>
    <x v="12"/>
    <x v="169"/>
    <x v="2"/>
    <x v="1"/>
  </r>
  <r>
    <x v="170"/>
    <x v="170"/>
    <x v="18"/>
    <x v="2"/>
    <x v="1"/>
    <d v="1983-07-26T00:00:00"/>
    <x v="16"/>
    <x v="170"/>
    <x v="0"/>
    <x v="1"/>
  </r>
  <r>
    <x v="171"/>
    <x v="171"/>
    <x v="39"/>
    <x v="0"/>
    <x v="1"/>
    <d v="1982-12-19T00:00:00"/>
    <x v="15"/>
    <x v="171"/>
    <x v="1"/>
    <x v="1"/>
  </r>
  <r>
    <x v="172"/>
    <x v="172"/>
    <x v="3"/>
    <x v="3"/>
    <x v="0"/>
    <d v="1997-05-31T00:00:00"/>
    <x v="10"/>
    <x v="172"/>
    <x v="2"/>
    <x v="1"/>
  </r>
  <r>
    <x v="173"/>
    <x v="173"/>
    <x v="2"/>
    <x v="4"/>
    <x v="1"/>
    <d v="1989-04-04T00:00:00"/>
    <x v="9"/>
    <x v="173"/>
    <x v="2"/>
    <x v="1"/>
  </r>
  <r>
    <x v="174"/>
    <x v="174"/>
    <x v="32"/>
    <x v="3"/>
    <x v="0"/>
    <d v="1995-09-29T00:00:00"/>
    <x v="4"/>
    <x v="174"/>
    <x v="0"/>
    <x v="0"/>
  </r>
  <r>
    <x v="175"/>
    <x v="175"/>
    <x v="25"/>
    <x v="1"/>
    <x v="1"/>
    <d v="2020-06-12T00:00:00"/>
    <x v="3"/>
    <x v="175"/>
    <x v="2"/>
    <x v="1"/>
  </r>
  <r>
    <x v="176"/>
    <x v="176"/>
    <x v="3"/>
    <x v="2"/>
    <x v="1"/>
    <d v="1991-01-17T00:00:00"/>
    <x v="3"/>
    <x v="176"/>
    <x v="2"/>
    <x v="1"/>
  </r>
  <r>
    <x v="177"/>
    <x v="177"/>
    <x v="33"/>
    <x v="2"/>
    <x v="0"/>
    <d v="2004-03-13T00:00:00"/>
    <x v="10"/>
    <x v="177"/>
    <x v="2"/>
    <x v="1"/>
  </r>
  <r>
    <x v="178"/>
    <x v="178"/>
    <x v="18"/>
    <x v="0"/>
    <x v="0"/>
    <d v="1981-06-04T00:00:00"/>
    <x v="16"/>
    <x v="178"/>
    <x v="0"/>
    <x v="0"/>
  </r>
  <r>
    <x v="179"/>
    <x v="179"/>
    <x v="23"/>
    <x v="4"/>
    <x v="1"/>
    <d v="2005-01-28T00:00:00"/>
    <x v="11"/>
    <x v="179"/>
    <x v="0"/>
    <x v="0"/>
  </r>
  <r>
    <x v="180"/>
    <x v="180"/>
    <x v="23"/>
    <x v="2"/>
    <x v="1"/>
    <d v="2018-09-20T00:00:00"/>
    <x v="21"/>
    <x v="180"/>
    <x v="0"/>
    <x v="0"/>
  </r>
  <r>
    <x v="181"/>
    <x v="181"/>
    <x v="27"/>
    <x v="3"/>
    <x v="0"/>
    <d v="2002-07-21T00:00:00"/>
    <x v="17"/>
    <x v="181"/>
    <x v="2"/>
    <x v="1"/>
  </r>
  <r>
    <x v="182"/>
    <x v="182"/>
    <x v="22"/>
    <x v="4"/>
    <x v="0"/>
    <d v="1988-06-25T00:00:00"/>
    <x v="14"/>
    <x v="182"/>
    <x v="2"/>
    <x v="1"/>
  </r>
  <r>
    <x v="183"/>
    <x v="183"/>
    <x v="1"/>
    <x v="2"/>
    <x v="1"/>
    <d v="2016-11-10T00:00:00"/>
    <x v="5"/>
    <x v="183"/>
    <x v="1"/>
    <x v="1"/>
  </r>
  <r>
    <x v="184"/>
    <x v="184"/>
    <x v="31"/>
    <x v="4"/>
    <x v="0"/>
    <d v="1973-02-05T00:00:00"/>
    <x v="8"/>
    <x v="184"/>
    <x v="0"/>
    <x v="0"/>
  </r>
  <r>
    <x v="185"/>
    <x v="185"/>
    <x v="27"/>
    <x v="2"/>
    <x v="1"/>
    <d v="1993-12-13T00:00:00"/>
    <x v="18"/>
    <x v="185"/>
    <x v="2"/>
    <x v="1"/>
  </r>
  <r>
    <x v="186"/>
    <x v="186"/>
    <x v="26"/>
    <x v="1"/>
    <x v="1"/>
    <d v="1995-04-25T00:00:00"/>
    <x v="26"/>
    <x v="186"/>
    <x v="1"/>
    <x v="2"/>
  </r>
  <r>
    <x v="187"/>
    <x v="187"/>
    <x v="29"/>
    <x v="3"/>
    <x v="1"/>
    <d v="2007-03-28T00:00:00"/>
    <x v="16"/>
    <x v="187"/>
    <x v="2"/>
    <x v="1"/>
  </r>
  <r>
    <x v="188"/>
    <x v="188"/>
    <x v="2"/>
    <x v="2"/>
    <x v="0"/>
    <d v="1974-08-31T00:00:00"/>
    <x v="15"/>
    <x v="188"/>
    <x v="2"/>
    <x v="1"/>
  </r>
  <r>
    <x v="189"/>
    <x v="189"/>
    <x v="2"/>
    <x v="3"/>
    <x v="1"/>
    <d v="1981-05-27T00:00:00"/>
    <x v="10"/>
    <x v="189"/>
    <x v="2"/>
    <x v="1"/>
  </r>
  <r>
    <x v="190"/>
    <x v="190"/>
    <x v="2"/>
    <x v="0"/>
    <x v="0"/>
    <d v="2012-06-21T00:00:00"/>
    <x v="5"/>
    <x v="190"/>
    <x v="2"/>
    <x v="1"/>
  </r>
  <r>
    <x v="191"/>
    <x v="191"/>
    <x v="15"/>
    <x v="3"/>
    <x v="1"/>
    <d v="1992-05-02T00:00:00"/>
    <x v="14"/>
    <x v="191"/>
    <x v="0"/>
    <x v="1"/>
  </r>
  <r>
    <x v="192"/>
    <x v="192"/>
    <x v="2"/>
    <x v="4"/>
    <x v="1"/>
    <d v="1971-09-03T00:00:00"/>
    <x v="5"/>
    <x v="192"/>
    <x v="2"/>
    <x v="1"/>
  </r>
  <r>
    <x v="193"/>
    <x v="193"/>
    <x v="12"/>
    <x v="2"/>
    <x v="1"/>
    <d v="2005-09-11T00:00:00"/>
    <x v="17"/>
    <x v="193"/>
    <x v="2"/>
    <x v="1"/>
  </r>
  <r>
    <x v="194"/>
    <x v="194"/>
    <x v="37"/>
    <x v="4"/>
    <x v="1"/>
    <d v="1992-01-06T00:00:00"/>
    <x v="4"/>
    <x v="194"/>
    <x v="0"/>
    <x v="0"/>
  </r>
  <r>
    <x v="195"/>
    <x v="195"/>
    <x v="19"/>
    <x v="3"/>
    <x v="0"/>
    <d v="1981-12-03T00:00:00"/>
    <x v="17"/>
    <x v="195"/>
    <x v="2"/>
    <x v="1"/>
  </r>
  <r>
    <x v="196"/>
    <x v="196"/>
    <x v="16"/>
    <x v="2"/>
    <x v="1"/>
    <d v="2013-05-27T00:00:00"/>
    <x v="7"/>
    <x v="196"/>
    <x v="2"/>
    <x v="1"/>
  </r>
  <r>
    <x v="197"/>
    <x v="157"/>
    <x v="0"/>
    <x v="2"/>
    <x v="1"/>
    <d v="2022-04-26T00:00:00"/>
    <x v="21"/>
    <x v="197"/>
    <x v="0"/>
    <x v="0"/>
  </r>
  <r>
    <x v="198"/>
    <x v="197"/>
    <x v="27"/>
    <x v="0"/>
    <x v="0"/>
    <d v="1981-02-21T00:00:00"/>
    <x v="12"/>
    <x v="198"/>
    <x v="2"/>
    <x v="1"/>
  </r>
  <r>
    <x v="199"/>
    <x v="198"/>
    <x v="13"/>
    <x v="3"/>
    <x v="1"/>
    <d v="2023-09-28T00:00:00"/>
    <x v="5"/>
    <x v="199"/>
    <x v="1"/>
    <x v="1"/>
  </r>
  <r>
    <x v="200"/>
    <x v="199"/>
    <x v="30"/>
    <x v="4"/>
    <x v="1"/>
    <d v="1989-12-19T00:00:00"/>
    <x v="21"/>
    <x v="200"/>
    <x v="0"/>
    <x v="0"/>
  </r>
  <r>
    <x v="201"/>
    <x v="200"/>
    <x v="26"/>
    <x v="4"/>
    <x v="0"/>
    <d v="1983-08-02T00:00:00"/>
    <x v="19"/>
    <x v="201"/>
    <x v="1"/>
    <x v="2"/>
  </r>
  <r>
    <x v="202"/>
    <x v="201"/>
    <x v="6"/>
    <x v="3"/>
    <x v="1"/>
    <d v="2013-12-24T00:00:00"/>
    <x v="23"/>
    <x v="202"/>
    <x v="0"/>
    <x v="0"/>
  </r>
  <r>
    <x v="203"/>
    <x v="202"/>
    <x v="29"/>
    <x v="3"/>
    <x v="1"/>
    <d v="1973-07-08T00:00:00"/>
    <x v="16"/>
    <x v="203"/>
    <x v="2"/>
    <x v="1"/>
  </r>
  <r>
    <x v="204"/>
    <x v="203"/>
    <x v="8"/>
    <x v="2"/>
    <x v="0"/>
    <d v="2014-11-10T00:00:00"/>
    <x v="10"/>
    <x v="204"/>
    <x v="2"/>
    <x v="1"/>
  </r>
  <r>
    <x v="205"/>
    <x v="204"/>
    <x v="4"/>
    <x v="1"/>
    <x v="1"/>
    <d v="2005-06-10T00:00:00"/>
    <x v="14"/>
    <x v="205"/>
    <x v="0"/>
    <x v="1"/>
  </r>
  <r>
    <x v="206"/>
    <x v="205"/>
    <x v="3"/>
    <x v="2"/>
    <x v="1"/>
    <d v="1991-10-14T00:00:00"/>
    <x v="18"/>
    <x v="206"/>
    <x v="2"/>
    <x v="1"/>
  </r>
  <r>
    <x v="207"/>
    <x v="206"/>
    <x v="7"/>
    <x v="0"/>
    <x v="0"/>
    <d v="1976-11-21T00:00:00"/>
    <x v="7"/>
    <x v="207"/>
    <x v="2"/>
    <x v="1"/>
  </r>
  <r>
    <x v="208"/>
    <x v="207"/>
    <x v="10"/>
    <x v="3"/>
    <x v="1"/>
    <d v="1977-02-09T00:00:00"/>
    <x v="16"/>
    <x v="208"/>
    <x v="0"/>
    <x v="0"/>
  </r>
  <r>
    <x v="209"/>
    <x v="208"/>
    <x v="29"/>
    <x v="0"/>
    <x v="0"/>
    <d v="2009-02-13T00:00:00"/>
    <x v="16"/>
    <x v="209"/>
    <x v="2"/>
    <x v="1"/>
  </r>
  <r>
    <x v="210"/>
    <x v="209"/>
    <x v="24"/>
    <x v="2"/>
    <x v="1"/>
    <d v="2023-06-16T00:00:00"/>
    <x v="3"/>
    <x v="210"/>
    <x v="2"/>
    <x v="1"/>
  </r>
  <r>
    <x v="211"/>
    <x v="210"/>
    <x v="1"/>
    <x v="0"/>
    <x v="1"/>
    <d v="2018-04-28T00:00:00"/>
    <x v="10"/>
    <x v="211"/>
    <x v="1"/>
    <x v="1"/>
  </r>
  <r>
    <x v="212"/>
    <x v="211"/>
    <x v="9"/>
    <x v="1"/>
    <x v="0"/>
    <d v="2024-03-16T00:00:00"/>
    <x v="5"/>
    <x v="212"/>
    <x v="1"/>
    <x v="1"/>
  </r>
  <r>
    <x v="213"/>
    <x v="212"/>
    <x v="22"/>
    <x v="1"/>
    <x v="0"/>
    <d v="1999-03-24T00:00:00"/>
    <x v="16"/>
    <x v="213"/>
    <x v="2"/>
    <x v="1"/>
  </r>
  <r>
    <x v="214"/>
    <x v="213"/>
    <x v="1"/>
    <x v="1"/>
    <x v="0"/>
    <d v="2023-05-23T00:00:00"/>
    <x v="1"/>
    <x v="214"/>
    <x v="1"/>
    <x v="2"/>
  </r>
  <r>
    <x v="215"/>
    <x v="214"/>
    <x v="8"/>
    <x v="0"/>
    <x v="1"/>
    <d v="1980-11-24T00:00:00"/>
    <x v="15"/>
    <x v="215"/>
    <x v="2"/>
    <x v="1"/>
  </r>
  <r>
    <x v="216"/>
    <x v="215"/>
    <x v="23"/>
    <x v="4"/>
    <x v="1"/>
    <d v="2004-12-01T00:00:00"/>
    <x v="22"/>
    <x v="216"/>
    <x v="0"/>
    <x v="0"/>
  </r>
  <r>
    <x v="217"/>
    <x v="216"/>
    <x v="41"/>
    <x v="0"/>
    <x v="1"/>
    <d v="2014-05-09T00:00:00"/>
    <x v="8"/>
    <x v="217"/>
    <x v="0"/>
    <x v="0"/>
  </r>
  <r>
    <x v="218"/>
    <x v="217"/>
    <x v="15"/>
    <x v="0"/>
    <x v="1"/>
    <d v="1999-01-17T00:00:00"/>
    <x v="8"/>
    <x v="218"/>
    <x v="0"/>
    <x v="0"/>
  </r>
  <r>
    <x v="219"/>
    <x v="218"/>
    <x v="11"/>
    <x v="4"/>
    <x v="1"/>
    <d v="1978-07-18T00:00:00"/>
    <x v="18"/>
    <x v="219"/>
    <x v="2"/>
    <x v="1"/>
  </r>
  <r>
    <x v="220"/>
    <x v="219"/>
    <x v="25"/>
    <x v="0"/>
    <x v="1"/>
    <d v="2022-02-17T00:00:00"/>
    <x v="15"/>
    <x v="220"/>
    <x v="2"/>
    <x v="1"/>
  </r>
  <r>
    <x v="221"/>
    <x v="220"/>
    <x v="41"/>
    <x v="0"/>
    <x v="0"/>
    <d v="2003-04-16T00:00:00"/>
    <x v="16"/>
    <x v="221"/>
    <x v="0"/>
    <x v="0"/>
  </r>
  <r>
    <x v="222"/>
    <x v="221"/>
    <x v="42"/>
    <x v="3"/>
    <x v="0"/>
    <d v="2021-10-06T00:00:00"/>
    <x v="12"/>
    <x v="222"/>
    <x v="2"/>
    <x v="1"/>
  </r>
  <r>
    <x v="223"/>
    <x v="222"/>
    <x v="12"/>
    <x v="1"/>
    <x v="1"/>
    <d v="1976-07-29T00:00:00"/>
    <x v="17"/>
    <x v="223"/>
    <x v="2"/>
    <x v="1"/>
  </r>
  <r>
    <x v="224"/>
    <x v="223"/>
    <x v="32"/>
    <x v="4"/>
    <x v="0"/>
    <d v="1979-12-07T00:00:00"/>
    <x v="0"/>
    <x v="224"/>
    <x v="0"/>
    <x v="0"/>
  </r>
  <r>
    <x v="225"/>
    <x v="224"/>
    <x v="35"/>
    <x v="3"/>
    <x v="0"/>
    <d v="2006-07-02T00:00:00"/>
    <x v="9"/>
    <x v="225"/>
    <x v="1"/>
    <x v="1"/>
  </r>
  <r>
    <x v="226"/>
    <x v="225"/>
    <x v="8"/>
    <x v="1"/>
    <x v="1"/>
    <d v="1978-04-04T00:00:00"/>
    <x v="9"/>
    <x v="226"/>
    <x v="2"/>
    <x v="1"/>
  </r>
  <r>
    <x v="227"/>
    <x v="226"/>
    <x v="35"/>
    <x v="1"/>
    <x v="0"/>
    <d v="2020-07-17T00:00:00"/>
    <x v="2"/>
    <x v="227"/>
    <x v="1"/>
    <x v="2"/>
  </r>
  <r>
    <x v="228"/>
    <x v="227"/>
    <x v="24"/>
    <x v="2"/>
    <x v="0"/>
    <d v="2024-06-09T00:00:00"/>
    <x v="20"/>
    <x v="228"/>
    <x v="2"/>
    <x v="1"/>
  </r>
  <r>
    <x v="229"/>
    <x v="228"/>
    <x v="11"/>
    <x v="1"/>
    <x v="1"/>
    <d v="1996-08-01T00:00:00"/>
    <x v="3"/>
    <x v="229"/>
    <x v="2"/>
    <x v="1"/>
  </r>
  <r>
    <x v="230"/>
    <x v="229"/>
    <x v="27"/>
    <x v="2"/>
    <x v="0"/>
    <d v="2007-09-22T00:00:00"/>
    <x v="3"/>
    <x v="230"/>
    <x v="2"/>
    <x v="1"/>
  </r>
  <r>
    <x v="231"/>
    <x v="230"/>
    <x v="33"/>
    <x v="2"/>
    <x v="0"/>
    <d v="1988-02-24T00:00:00"/>
    <x v="5"/>
    <x v="231"/>
    <x v="2"/>
    <x v="1"/>
  </r>
  <r>
    <x v="232"/>
    <x v="231"/>
    <x v="13"/>
    <x v="1"/>
    <x v="0"/>
    <d v="1997-02-12T00:00:00"/>
    <x v="27"/>
    <x v="232"/>
    <x v="1"/>
    <x v="2"/>
  </r>
  <r>
    <x v="233"/>
    <x v="232"/>
    <x v="33"/>
    <x v="1"/>
    <x v="1"/>
    <d v="1972-06-01T00:00:00"/>
    <x v="10"/>
    <x v="233"/>
    <x v="2"/>
    <x v="1"/>
  </r>
  <r>
    <x v="234"/>
    <x v="233"/>
    <x v="4"/>
    <x v="1"/>
    <x v="0"/>
    <d v="1980-11-08T00:00:00"/>
    <x v="0"/>
    <x v="234"/>
    <x v="0"/>
    <x v="0"/>
  </r>
  <r>
    <x v="235"/>
    <x v="234"/>
    <x v="41"/>
    <x v="1"/>
    <x v="0"/>
    <d v="2012-05-05T00:00:00"/>
    <x v="13"/>
    <x v="235"/>
    <x v="0"/>
    <x v="0"/>
  </r>
  <r>
    <x v="236"/>
    <x v="235"/>
    <x v="10"/>
    <x v="0"/>
    <x v="1"/>
    <d v="2010-06-18T00:00:00"/>
    <x v="13"/>
    <x v="236"/>
    <x v="0"/>
    <x v="0"/>
  </r>
  <r>
    <x v="237"/>
    <x v="236"/>
    <x v="34"/>
    <x v="2"/>
    <x v="0"/>
    <d v="1972-07-15T00:00:00"/>
    <x v="10"/>
    <x v="237"/>
    <x v="2"/>
    <x v="1"/>
  </r>
  <r>
    <x v="238"/>
    <x v="237"/>
    <x v="33"/>
    <x v="1"/>
    <x v="0"/>
    <d v="1970-02-07T00:00:00"/>
    <x v="7"/>
    <x v="238"/>
    <x v="2"/>
    <x v="1"/>
  </r>
  <r>
    <x v="239"/>
    <x v="238"/>
    <x v="6"/>
    <x v="1"/>
    <x v="1"/>
    <d v="1981-04-22T00:00:00"/>
    <x v="0"/>
    <x v="239"/>
    <x v="0"/>
    <x v="0"/>
  </r>
  <r>
    <x v="240"/>
    <x v="239"/>
    <x v="22"/>
    <x v="1"/>
    <x v="0"/>
    <d v="1974-12-27T00:00:00"/>
    <x v="18"/>
    <x v="240"/>
    <x v="2"/>
    <x v="1"/>
  </r>
  <r>
    <x v="241"/>
    <x v="240"/>
    <x v="29"/>
    <x v="2"/>
    <x v="0"/>
    <d v="1979-02-17T00:00:00"/>
    <x v="17"/>
    <x v="241"/>
    <x v="2"/>
    <x v="1"/>
  </r>
  <r>
    <x v="242"/>
    <x v="241"/>
    <x v="3"/>
    <x v="3"/>
    <x v="1"/>
    <d v="2006-06-26T00:00:00"/>
    <x v="12"/>
    <x v="242"/>
    <x v="2"/>
    <x v="1"/>
  </r>
  <r>
    <x v="243"/>
    <x v="242"/>
    <x v="19"/>
    <x v="1"/>
    <x v="1"/>
    <d v="2001-06-10T00:00:00"/>
    <x v="17"/>
    <x v="243"/>
    <x v="2"/>
    <x v="1"/>
  </r>
  <r>
    <x v="244"/>
    <x v="243"/>
    <x v="42"/>
    <x v="2"/>
    <x v="1"/>
    <d v="2025-09-29T00:00:00"/>
    <x v="17"/>
    <x v="244"/>
    <x v="2"/>
    <x v="1"/>
  </r>
  <r>
    <x v="245"/>
    <x v="244"/>
    <x v="27"/>
    <x v="4"/>
    <x v="0"/>
    <d v="1991-06-26T00:00:00"/>
    <x v="10"/>
    <x v="245"/>
    <x v="2"/>
    <x v="1"/>
  </r>
  <r>
    <x v="246"/>
    <x v="245"/>
    <x v="37"/>
    <x v="3"/>
    <x v="0"/>
    <d v="1985-05-01T00:00:00"/>
    <x v="11"/>
    <x v="246"/>
    <x v="0"/>
    <x v="0"/>
  </r>
  <r>
    <x v="247"/>
    <x v="246"/>
    <x v="29"/>
    <x v="2"/>
    <x v="0"/>
    <d v="2005-01-08T00:00:00"/>
    <x v="3"/>
    <x v="247"/>
    <x v="2"/>
    <x v="1"/>
  </r>
  <r>
    <x v="248"/>
    <x v="247"/>
    <x v="5"/>
    <x v="4"/>
    <x v="0"/>
    <d v="1994-01-27T00:00:00"/>
    <x v="1"/>
    <x v="248"/>
    <x v="2"/>
    <x v="1"/>
  </r>
  <r>
    <x v="249"/>
    <x v="248"/>
    <x v="26"/>
    <x v="4"/>
    <x v="1"/>
    <d v="1983-02-17T00:00:00"/>
    <x v="1"/>
    <x v="249"/>
    <x v="1"/>
    <x v="2"/>
  </r>
  <r>
    <x v="250"/>
    <x v="249"/>
    <x v="10"/>
    <x v="4"/>
    <x v="0"/>
    <d v="2023-03-01T00:00:00"/>
    <x v="14"/>
    <x v="250"/>
    <x v="0"/>
    <x v="1"/>
  </r>
  <r>
    <x v="251"/>
    <x v="250"/>
    <x v="23"/>
    <x v="4"/>
    <x v="1"/>
    <d v="2005-11-01T00:00:00"/>
    <x v="4"/>
    <x v="251"/>
    <x v="0"/>
    <x v="0"/>
  </r>
  <r>
    <x v="252"/>
    <x v="251"/>
    <x v="18"/>
    <x v="4"/>
    <x v="1"/>
    <d v="2008-09-14T00:00:00"/>
    <x v="20"/>
    <x v="252"/>
    <x v="0"/>
    <x v="1"/>
  </r>
  <r>
    <x v="253"/>
    <x v="184"/>
    <x v="36"/>
    <x v="3"/>
    <x v="0"/>
    <d v="1996-07-19T00:00:00"/>
    <x v="2"/>
    <x v="253"/>
    <x v="1"/>
    <x v="2"/>
  </r>
  <r>
    <x v="254"/>
    <x v="252"/>
    <x v="21"/>
    <x v="2"/>
    <x v="1"/>
    <d v="2002-09-15T00:00:00"/>
    <x v="0"/>
    <x v="254"/>
    <x v="0"/>
    <x v="0"/>
  </r>
  <r>
    <x v="255"/>
    <x v="120"/>
    <x v="23"/>
    <x v="0"/>
    <x v="0"/>
    <d v="2009-11-13T00:00:00"/>
    <x v="24"/>
    <x v="255"/>
    <x v="0"/>
    <x v="0"/>
  </r>
  <r>
    <x v="256"/>
    <x v="253"/>
    <x v="4"/>
    <x v="4"/>
    <x v="0"/>
    <d v="1975-09-06T00:00:00"/>
    <x v="4"/>
    <x v="256"/>
    <x v="0"/>
    <x v="0"/>
  </r>
  <r>
    <x v="257"/>
    <x v="254"/>
    <x v="22"/>
    <x v="1"/>
    <x v="1"/>
    <d v="2009-03-11T00:00:00"/>
    <x v="8"/>
    <x v="257"/>
    <x v="2"/>
    <x v="0"/>
  </r>
  <r>
    <x v="258"/>
    <x v="255"/>
    <x v="35"/>
    <x v="4"/>
    <x v="0"/>
    <d v="2010-09-17T00:00:00"/>
    <x v="2"/>
    <x v="258"/>
    <x v="1"/>
    <x v="2"/>
  </r>
  <r>
    <x v="259"/>
    <x v="256"/>
    <x v="12"/>
    <x v="0"/>
    <x v="0"/>
    <d v="1991-03-26T00:00:00"/>
    <x v="9"/>
    <x v="259"/>
    <x v="2"/>
    <x v="1"/>
  </r>
  <r>
    <x v="260"/>
    <x v="257"/>
    <x v="4"/>
    <x v="4"/>
    <x v="0"/>
    <d v="1989-02-27T00:00:00"/>
    <x v="0"/>
    <x v="260"/>
    <x v="0"/>
    <x v="0"/>
  </r>
  <r>
    <x v="261"/>
    <x v="258"/>
    <x v="32"/>
    <x v="2"/>
    <x v="0"/>
    <d v="1979-01-14T00:00:00"/>
    <x v="13"/>
    <x v="261"/>
    <x v="0"/>
    <x v="0"/>
  </r>
  <r>
    <x v="262"/>
    <x v="259"/>
    <x v="17"/>
    <x v="1"/>
    <x v="0"/>
    <d v="1991-03-09T00:00:00"/>
    <x v="20"/>
    <x v="262"/>
    <x v="2"/>
    <x v="1"/>
  </r>
  <r>
    <x v="263"/>
    <x v="260"/>
    <x v="12"/>
    <x v="2"/>
    <x v="1"/>
    <d v="1970-07-27T00:00:00"/>
    <x v="10"/>
    <x v="263"/>
    <x v="2"/>
    <x v="1"/>
  </r>
  <r>
    <x v="264"/>
    <x v="261"/>
    <x v="27"/>
    <x v="1"/>
    <x v="1"/>
    <d v="2023-11-19T00:00:00"/>
    <x v="20"/>
    <x v="264"/>
    <x v="2"/>
    <x v="1"/>
  </r>
  <r>
    <x v="265"/>
    <x v="262"/>
    <x v="25"/>
    <x v="4"/>
    <x v="1"/>
    <d v="1984-08-02T00:00:00"/>
    <x v="17"/>
    <x v="265"/>
    <x v="2"/>
    <x v="1"/>
  </r>
  <r>
    <x v="266"/>
    <x v="263"/>
    <x v="39"/>
    <x v="3"/>
    <x v="1"/>
    <d v="2015-07-19T00:00:00"/>
    <x v="27"/>
    <x v="266"/>
    <x v="1"/>
    <x v="2"/>
  </r>
  <r>
    <x v="267"/>
    <x v="264"/>
    <x v="7"/>
    <x v="3"/>
    <x v="1"/>
    <d v="1993-12-06T00:00:00"/>
    <x v="7"/>
    <x v="267"/>
    <x v="2"/>
    <x v="1"/>
  </r>
  <r>
    <x v="268"/>
    <x v="265"/>
    <x v="15"/>
    <x v="2"/>
    <x v="0"/>
    <d v="1970-09-21T00:00:00"/>
    <x v="22"/>
    <x v="268"/>
    <x v="0"/>
    <x v="0"/>
  </r>
  <r>
    <x v="269"/>
    <x v="266"/>
    <x v="15"/>
    <x v="4"/>
    <x v="0"/>
    <d v="1992-05-08T00:00:00"/>
    <x v="14"/>
    <x v="269"/>
    <x v="0"/>
    <x v="1"/>
  </r>
  <r>
    <x v="270"/>
    <x v="267"/>
    <x v="33"/>
    <x v="0"/>
    <x v="1"/>
    <d v="2010-05-19T00:00:00"/>
    <x v="15"/>
    <x v="270"/>
    <x v="2"/>
    <x v="1"/>
  </r>
  <r>
    <x v="271"/>
    <x v="268"/>
    <x v="9"/>
    <x v="4"/>
    <x v="1"/>
    <d v="1972-02-07T00:00:00"/>
    <x v="25"/>
    <x v="271"/>
    <x v="1"/>
    <x v="2"/>
  </r>
  <r>
    <x v="272"/>
    <x v="269"/>
    <x v="6"/>
    <x v="2"/>
    <x v="0"/>
    <d v="2005-04-27T00:00:00"/>
    <x v="11"/>
    <x v="272"/>
    <x v="0"/>
    <x v="0"/>
  </r>
  <r>
    <x v="273"/>
    <x v="270"/>
    <x v="28"/>
    <x v="4"/>
    <x v="1"/>
    <d v="1983-07-07T00:00:00"/>
    <x v="18"/>
    <x v="273"/>
    <x v="2"/>
    <x v="1"/>
  </r>
  <r>
    <x v="274"/>
    <x v="271"/>
    <x v="28"/>
    <x v="2"/>
    <x v="1"/>
    <d v="1973-12-20T00:00:00"/>
    <x v="14"/>
    <x v="274"/>
    <x v="2"/>
    <x v="1"/>
  </r>
  <r>
    <x v="275"/>
    <x v="272"/>
    <x v="13"/>
    <x v="0"/>
    <x v="0"/>
    <d v="2018-07-04T00:00:00"/>
    <x v="15"/>
    <x v="275"/>
    <x v="1"/>
    <x v="1"/>
  </r>
  <r>
    <x v="276"/>
    <x v="273"/>
    <x v="10"/>
    <x v="4"/>
    <x v="0"/>
    <d v="1993-04-21T00:00:00"/>
    <x v="13"/>
    <x v="276"/>
    <x v="0"/>
    <x v="0"/>
  </r>
  <r>
    <x v="277"/>
    <x v="274"/>
    <x v="7"/>
    <x v="3"/>
    <x v="0"/>
    <d v="1987-11-27T00:00:00"/>
    <x v="5"/>
    <x v="277"/>
    <x v="2"/>
    <x v="1"/>
  </r>
  <r>
    <x v="278"/>
    <x v="275"/>
    <x v="42"/>
    <x v="4"/>
    <x v="0"/>
    <d v="1989-03-11T00:00:00"/>
    <x v="3"/>
    <x v="278"/>
    <x v="2"/>
    <x v="1"/>
  </r>
  <r>
    <x v="279"/>
    <x v="276"/>
    <x v="18"/>
    <x v="4"/>
    <x v="0"/>
    <d v="2001-08-12T00:00:00"/>
    <x v="16"/>
    <x v="279"/>
    <x v="0"/>
    <x v="0"/>
  </r>
  <r>
    <x v="280"/>
    <x v="277"/>
    <x v="38"/>
    <x v="4"/>
    <x v="0"/>
    <d v="2007-12-09T00:00:00"/>
    <x v="27"/>
    <x v="280"/>
    <x v="1"/>
    <x v="2"/>
  </r>
  <r>
    <x v="281"/>
    <x v="278"/>
    <x v="21"/>
    <x v="0"/>
    <x v="0"/>
    <d v="2019-10-28T00:00:00"/>
    <x v="22"/>
    <x v="281"/>
    <x v="0"/>
    <x v="0"/>
  </r>
  <r>
    <x v="282"/>
    <x v="279"/>
    <x v="19"/>
    <x v="1"/>
    <x v="1"/>
    <d v="1999-02-15T00:00:00"/>
    <x v="8"/>
    <x v="282"/>
    <x v="2"/>
    <x v="0"/>
  </r>
  <r>
    <x v="283"/>
    <x v="280"/>
    <x v="11"/>
    <x v="0"/>
    <x v="1"/>
    <d v="2022-07-25T00:00:00"/>
    <x v="18"/>
    <x v="283"/>
    <x v="2"/>
    <x v="1"/>
  </r>
  <r>
    <x v="284"/>
    <x v="281"/>
    <x v="17"/>
    <x v="1"/>
    <x v="1"/>
    <d v="2004-06-23T00:00:00"/>
    <x v="13"/>
    <x v="284"/>
    <x v="2"/>
    <x v="0"/>
  </r>
  <r>
    <x v="285"/>
    <x v="282"/>
    <x v="4"/>
    <x v="2"/>
    <x v="1"/>
    <d v="2022-02-23T00:00:00"/>
    <x v="22"/>
    <x v="285"/>
    <x v="0"/>
    <x v="0"/>
  </r>
  <r>
    <x v="286"/>
    <x v="283"/>
    <x v="9"/>
    <x v="0"/>
    <x v="0"/>
    <d v="1997-03-28T00:00:00"/>
    <x v="27"/>
    <x v="286"/>
    <x v="1"/>
    <x v="2"/>
  </r>
  <r>
    <x v="287"/>
    <x v="284"/>
    <x v="8"/>
    <x v="3"/>
    <x v="0"/>
    <d v="1970-02-26T00:00:00"/>
    <x v="5"/>
    <x v="287"/>
    <x v="2"/>
    <x v="1"/>
  </r>
  <r>
    <x v="288"/>
    <x v="285"/>
    <x v="1"/>
    <x v="0"/>
    <x v="1"/>
    <d v="1998-12-31T00:00:00"/>
    <x v="5"/>
    <x v="288"/>
    <x v="1"/>
    <x v="1"/>
  </r>
  <r>
    <x v="289"/>
    <x v="286"/>
    <x v="23"/>
    <x v="2"/>
    <x v="1"/>
    <d v="2007-03-22T00:00:00"/>
    <x v="23"/>
    <x v="289"/>
    <x v="0"/>
    <x v="0"/>
  </r>
  <r>
    <x v="290"/>
    <x v="287"/>
    <x v="0"/>
    <x v="2"/>
    <x v="0"/>
    <d v="1990-05-22T00:00:00"/>
    <x v="22"/>
    <x v="290"/>
    <x v="0"/>
    <x v="0"/>
  </r>
  <r>
    <x v="291"/>
    <x v="288"/>
    <x v="36"/>
    <x v="1"/>
    <x v="1"/>
    <d v="2009-10-13T00:00:00"/>
    <x v="2"/>
    <x v="291"/>
    <x v="1"/>
    <x v="2"/>
  </r>
  <r>
    <x v="292"/>
    <x v="289"/>
    <x v="40"/>
    <x v="3"/>
    <x v="1"/>
    <d v="1999-06-25T00:00:00"/>
    <x v="22"/>
    <x v="292"/>
    <x v="0"/>
    <x v="0"/>
  </r>
  <r>
    <x v="293"/>
    <x v="290"/>
    <x v="3"/>
    <x v="0"/>
    <x v="0"/>
    <d v="2014-05-01T00:00:00"/>
    <x v="12"/>
    <x v="293"/>
    <x v="2"/>
    <x v="1"/>
  </r>
  <r>
    <x v="294"/>
    <x v="291"/>
    <x v="12"/>
    <x v="2"/>
    <x v="1"/>
    <d v="2023-07-29T00:00:00"/>
    <x v="3"/>
    <x v="294"/>
    <x v="2"/>
    <x v="1"/>
  </r>
  <r>
    <x v="295"/>
    <x v="292"/>
    <x v="32"/>
    <x v="0"/>
    <x v="0"/>
    <d v="1979-07-28T00:00:00"/>
    <x v="22"/>
    <x v="295"/>
    <x v="0"/>
    <x v="0"/>
  </r>
  <r>
    <x v="296"/>
    <x v="293"/>
    <x v="16"/>
    <x v="3"/>
    <x v="0"/>
    <d v="1981-04-22T00:00:00"/>
    <x v="5"/>
    <x v="296"/>
    <x v="2"/>
    <x v="1"/>
  </r>
  <r>
    <x v="297"/>
    <x v="294"/>
    <x v="28"/>
    <x v="4"/>
    <x v="1"/>
    <d v="1970-05-02T00:00:00"/>
    <x v="16"/>
    <x v="297"/>
    <x v="2"/>
    <x v="0"/>
  </r>
  <r>
    <x v="298"/>
    <x v="295"/>
    <x v="8"/>
    <x v="1"/>
    <x v="1"/>
    <d v="2016-01-11T00:00:00"/>
    <x v="9"/>
    <x v="298"/>
    <x v="2"/>
    <x v="1"/>
  </r>
  <r>
    <x v="299"/>
    <x v="296"/>
    <x v="37"/>
    <x v="1"/>
    <x v="1"/>
    <d v="1998-06-29T00:00:00"/>
    <x v="11"/>
    <x v="299"/>
    <x v="0"/>
    <x v="0"/>
  </r>
  <r>
    <x v="300"/>
    <x v="297"/>
    <x v="9"/>
    <x v="0"/>
    <x v="0"/>
    <d v="1980-10-08T00:00:00"/>
    <x v="1"/>
    <x v="300"/>
    <x v="1"/>
    <x v="1"/>
  </r>
  <r>
    <x v="301"/>
    <x v="298"/>
    <x v="13"/>
    <x v="1"/>
    <x v="0"/>
    <d v="2009-10-11T00:00:00"/>
    <x v="19"/>
    <x v="301"/>
    <x v="1"/>
    <x v="2"/>
  </r>
  <r>
    <x v="302"/>
    <x v="299"/>
    <x v="24"/>
    <x v="1"/>
    <x v="1"/>
    <d v="2013-10-23T00:00:00"/>
    <x v="17"/>
    <x v="302"/>
    <x v="2"/>
    <x v="1"/>
  </r>
  <r>
    <x v="303"/>
    <x v="300"/>
    <x v="20"/>
    <x v="4"/>
    <x v="1"/>
    <d v="1980-11-27T00:00:00"/>
    <x v="9"/>
    <x v="303"/>
    <x v="2"/>
    <x v="1"/>
  </r>
  <r>
    <x v="304"/>
    <x v="301"/>
    <x v="29"/>
    <x v="0"/>
    <x v="1"/>
    <d v="2006-10-14T00:00:00"/>
    <x v="17"/>
    <x v="304"/>
    <x v="2"/>
    <x v="1"/>
  </r>
  <r>
    <x v="305"/>
    <x v="302"/>
    <x v="42"/>
    <x v="1"/>
    <x v="0"/>
    <d v="1994-05-29T00:00:00"/>
    <x v="9"/>
    <x v="305"/>
    <x v="2"/>
    <x v="1"/>
  </r>
  <r>
    <x v="306"/>
    <x v="303"/>
    <x v="37"/>
    <x v="4"/>
    <x v="1"/>
    <d v="1970-03-31T00:00:00"/>
    <x v="8"/>
    <x v="306"/>
    <x v="0"/>
    <x v="0"/>
  </r>
  <r>
    <x v="307"/>
    <x v="304"/>
    <x v="19"/>
    <x v="2"/>
    <x v="1"/>
    <d v="1974-11-11T00:00:00"/>
    <x v="8"/>
    <x v="307"/>
    <x v="2"/>
    <x v="0"/>
  </r>
  <r>
    <x v="308"/>
    <x v="305"/>
    <x v="17"/>
    <x v="3"/>
    <x v="1"/>
    <d v="2008-11-14T00:00:00"/>
    <x v="20"/>
    <x v="308"/>
    <x v="2"/>
    <x v="1"/>
  </r>
  <r>
    <x v="309"/>
    <x v="306"/>
    <x v="17"/>
    <x v="2"/>
    <x v="0"/>
    <d v="2022-11-17T00:00:00"/>
    <x v="13"/>
    <x v="309"/>
    <x v="2"/>
    <x v="0"/>
  </r>
  <r>
    <x v="310"/>
    <x v="307"/>
    <x v="9"/>
    <x v="4"/>
    <x v="0"/>
    <d v="2012-06-04T00:00:00"/>
    <x v="1"/>
    <x v="310"/>
    <x v="1"/>
    <x v="1"/>
  </r>
  <r>
    <x v="311"/>
    <x v="308"/>
    <x v="4"/>
    <x v="1"/>
    <x v="0"/>
    <d v="2005-03-24T00:00:00"/>
    <x v="22"/>
    <x v="311"/>
    <x v="0"/>
    <x v="0"/>
  </r>
  <r>
    <x v="312"/>
    <x v="309"/>
    <x v="0"/>
    <x v="3"/>
    <x v="1"/>
    <d v="2018-02-12T00:00:00"/>
    <x v="22"/>
    <x v="312"/>
    <x v="0"/>
    <x v="0"/>
  </r>
  <r>
    <x v="313"/>
    <x v="310"/>
    <x v="19"/>
    <x v="3"/>
    <x v="0"/>
    <d v="1973-02-12T00:00:00"/>
    <x v="18"/>
    <x v="313"/>
    <x v="2"/>
    <x v="1"/>
  </r>
  <r>
    <x v="314"/>
    <x v="311"/>
    <x v="6"/>
    <x v="0"/>
    <x v="0"/>
    <d v="1998-07-31T00:00:00"/>
    <x v="11"/>
    <x v="314"/>
    <x v="0"/>
    <x v="0"/>
  </r>
  <r>
    <x v="315"/>
    <x v="243"/>
    <x v="22"/>
    <x v="0"/>
    <x v="0"/>
    <d v="1984-05-31T00:00:00"/>
    <x v="8"/>
    <x v="315"/>
    <x v="2"/>
    <x v="0"/>
  </r>
  <r>
    <x v="316"/>
    <x v="312"/>
    <x v="21"/>
    <x v="4"/>
    <x v="1"/>
    <d v="2018-10-24T00:00:00"/>
    <x v="4"/>
    <x v="316"/>
    <x v="0"/>
    <x v="0"/>
  </r>
  <r>
    <x v="317"/>
    <x v="313"/>
    <x v="20"/>
    <x v="2"/>
    <x v="1"/>
    <d v="2010-03-16T00:00:00"/>
    <x v="10"/>
    <x v="317"/>
    <x v="2"/>
    <x v="1"/>
  </r>
  <r>
    <x v="318"/>
    <x v="314"/>
    <x v="20"/>
    <x v="1"/>
    <x v="1"/>
    <d v="1974-06-04T00:00:00"/>
    <x v="15"/>
    <x v="318"/>
    <x v="2"/>
    <x v="1"/>
  </r>
  <r>
    <x v="319"/>
    <x v="315"/>
    <x v="4"/>
    <x v="3"/>
    <x v="1"/>
    <d v="2007-04-22T00:00:00"/>
    <x v="21"/>
    <x v="319"/>
    <x v="0"/>
    <x v="0"/>
  </r>
  <r>
    <x v="320"/>
    <x v="316"/>
    <x v="4"/>
    <x v="4"/>
    <x v="0"/>
    <d v="1983-10-22T00:00:00"/>
    <x v="4"/>
    <x v="320"/>
    <x v="0"/>
    <x v="0"/>
  </r>
  <r>
    <x v="321"/>
    <x v="317"/>
    <x v="29"/>
    <x v="3"/>
    <x v="1"/>
    <d v="1994-04-26T00:00:00"/>
    <x v="20"/>
    <x v="321"/>
    <x v="2"/>
    <x v="1"/>
  </r>
  <r>
    <x v="322"/>
    <x v="318"/>
    <x v="16"/>
    <x v="2"/>
    <x v="0"/>
    <d v="2008-10-22T00:00:00"/>
    <x v="15"/>
    <x v="322"/>
    <x v="2"/>
    <x v="1"/>
  </r>
  <r>
    <x v="323"/>
    <x v="319"/>
    <x v="8"/>
    <x v="0"/>
    <x v="1"/>
    <d v="2018-02-04T00:00:00"/>
    <x v="7"/>
    <x v="323"/>
    <x v="2"/>
    <x v="1"/>
  </r>
  <r>
    <x v="324"/>
    <x v="320"/>
    <x v="13"/>
    <x v="0"/>
    <x v="0"/>
    <d v="2019-07-26T00:00:00"/>
    <x v="25"/>
    <x v="324"/>
    <x v="1"/>
    <x v="2"/>
  </r>
  <r>
    <x v="325"/>
    <x v="321"/>
    <x v="27"/>
    <x v="2"/>
    <x v="0"/>
    <d v="1980-11-01T00:00:00"/>
    <x v="17"/>
    <x v="325"/>
    <x v="2"/>
    <x v="1"/>
  </r>
  <r>
    <x v="326"/>
    <x v="322"/>
    <x v="18"/>
    <x v="2"/>
    <x v="1"/>
    <d v="2011-08-19T00:00:00"/>
    <x v="13"/>
    <x v="326"/>
    <x v="0"/>
    <x v="0"/>
  </r>
  <r>
    <x v="327"/>
    <x v="257"/>
    <x v="27"/>
    <x v="1"/>
    <x v="0"/>
    <d v="1981-09-10T00:00:00"/>
    <x v="3"/>
    <x v="327"/>
    <x v="2"/>
    <x v="1"/>
  </r>
  <r>
    <x v="328"/>
    <x v="323"/>
    <x v="36"/>
    <x v="3"/>
    <x v="0"/>
    <d v="1992-07-12T00:00:00"/>
    <x v="1"/>
    <x v="328"/>
    <x v="1"/>
    <x v="1"/>
  </r>
  <r>
    <x v="329"/>
    <x v="324"/>
    <x v="20"/>
    <x v="3"/>
    <x v="1"/>
    <d v="1990-04-07T00:00:00"/>
    <x v="12"/>
    <x v="329"/>
    <x v="2"/>
    <x v="1"/>
  </r>
  <r>
    <x v="330"/>
    <x v="325"/>
    <x v="11"/>
    <x v="2"/>
    <x v="0"/>
    <d v="2002-08-23T00:00:00"/>
    <x v="3"/>
    <x v="330"/>
    <x v="2"/>
    <x v="1"/>
  </r>
  <r>
    <x v="331"/>
    <x v="326"/>
    <x v="42"/>
    <x v="1"/>
    <x v="1"/>
    <d v="2016-12-26T00:00:00"/>
    <x v="10"/>
    <x v="331"/>
    <x v="2"/>
    <x v="1"/>
  </r>
  <r>
    <x v="332"/>
    <x v="327"/>
    <x v="42"/>
    <x v="0"/>
    <x v="0"/>
    <d v="1997-05-30T00:00:00"/>
    <x v="7"/>
    <x v="332"/>
    <x v="2"/>
    <x v="1"/>
  </r>
  <r>
    <x v="333"/>
    <x v="328"/>
    <x v="21"/>
    <x v="0"/>
    <x v="1"/>
    <d v="2008-07-02T00:00:00"/>
    <x v="22"/>
    <x v="333"/>
    <x v="0"/>
    <x v="0"/>
  </r>
  <r>
    <x v="334"/>
    <x v="117"/>
    <x v="5"/>
    <x v="3"/>
    <x v="1"/>
    <d v="2009-05-28T00:00:00"/>
    <x v="5"/>
    <x v="334"/>
    <x v="2"/>
    <x v="1"/>
  </r>
  <r>
    <x v="335"/>
    <x v="329"/>
    <x v="29"/>
    <x v="2"/>
    <x v="0"/>
    <d v="2004-04-05T00:00:00"/>
    <x v="14"/>
    <x v="335"/>
    <x v="2"/>
    <x v="1"/>
  </r>
  <r>
    <x v="336"/>
    <x v="330"/>
    <x v="6"/>
    <x v="2"/>
    <x v="1"/>
    <d v="1997-11-23T00:00:00"/>
    <x v="6"/>
    <x v="336"/>
    <x v="0"/>
    <x v="0"/>
  </r>
  <r>
    <x v="337"/>
    <x v="331"/>
    <x v="23"/>
    <x v="2"/>
    <x v="0"/>
    <d v="2001-01-08T00:00:00"/>
    <x v="21"/>
    <x v="337"/>
    <x v="0"/>
    <x v="0"/>
  </r>
  <r>
    <x v="338"/>
    <x v="332"/>
    <x v="1"/>
    <x v="0"/>
    <x v="1"/>
    <d v="1985-03-23T00:00:00"/>
    <x v="7"/>
    <x v="338"/>
    <x v="1"/>
    <x v="1"/>
  </r>
  <r>
    <x v="339"/>
    <x v="333"/>
    <x v="35"/>
    <x v="2"/>
    <x v="1"/>
    <d v="1989-02-01T00:00:00"/>
    <x v="1"/>
    <x v="339"/>
    <x v="1"/>
    <x v="1"/>
  </r>
  <r>
    <x v="340"/>
    <x v="334"/>
    <x v="18"/>
    <x v="3"/>
    <x v="1"/>
    <d v="2000-07-16T00:00:00"/>
    <x v="16"/>
    <x v="340"/>
    <x v="0"/>
    <x v="0"/>
  </r>
  <r>
    <x v="341"/>
    <x v="335"/>
    <x v="34"/>
    <x v="0"/>
    <x v="1"/>
    <d v="1990-11-14T00:00:00"/>
    <x v="10"/>
    <x v="341"/>
    <x v="2"/>
    <x v="1"/>
  </r>
  <r>
    <x v="342"/>
    <x v="336"/>
    <x v="12"/>
    <x v="1"/>
    <x v="1"/>
    <d v="1970-09-19T00:00:00"/>
    <x v="3"/>
    <x v="342"/>
    <x v="2"/>
    <x v="1"/>
  </r>
  <r>
    <x v="343"/>
    <x v="337"/>
    <x v="23"/>
    <x v="4"/>
    <x v="0"/>
    <d v="2017-10-13T00:00:00"/>
    <x v="4"/>
    <x v="343"/>
    <x v="0"/>
    <x v="0"/>
  </r>
  <r>
    <x v="344"/>
    <x v="338"/>
    <x v="29"/>
    <x v="0"/>
    <x v="1"/>
    <d v="2020-02-25T00:00:00"/>
    <x v="17"/>
    <x v="344"/>
    <x v="2"/>
    <x v="1"/>
  </r>
  <r>
    <x v="345"/>
    <x v="339"/>
    <x v="24"/>
    <x v="1"/>
    <x v="1"/>
    <d v="1999-06-17T00:00:00"/>
    <x v="18"/>
    <x v="345"/>
    <x v="2"/>
    <x v="1"/>
  </r>
  <r>
    <x v="346"/>
    <x v="267"/>
    <x v="26"/>
    <x v="4"/>
    <x v="0"/>
    <d v="1984-04-01T00:00:00"/>
    <x v="5"/>
    <x v="346"/>
    <x v="1"/>
    <x v="1"/>
  </r>
  <r>
    <x v="347"/>
    <x v="340"/>
    <x v="21"/>
    <x v="1"/>
    <x v="0"/>
    <d v="1981-04-26T00:00:00"/>
    <x v="8"/>
    <x v="347"/>
    <x v="0"/>
    <x v="0"/>
  </r>
  <r>
    <x v="348"/>
    <x v="341"/>
    <x v="24"/>
    <x v="1"/>
    <x v="0"/>
    <d v="2021-11-17T00:00:00"/>
    <x v="3"/>
    <x v="348"/>
    <x v="2"/>
    <x v="1"/>
  </r>
  <r>
    <x v="349"/>
    <x v="342"/>
    <x v="11"/>
    <x v="4"/>
    <x v="1"/>
    <d v="1996-03-10T00:00:00"/>
    <x v="18"/>
    <x v="349"/>
    <x v="2"/>
    <x v="1"/>
  </r>
  <r>
    <x v="350"/>
    <x v="343"/>
    <x v="10"/>
    <x v="2"/>
    <x v="1"/>
    <d v="1996-03-16T00:00:00"/>
    <x v="18"/>
    <x v="350"/>
    <x v="0"/>
    <x v="1"/>
  </r>
  <r>
    <x v="351"/>
    <x v="344"/>
    <x v="35"/>
    <x v="2"/>
    <x v="1"/>
    <d v="1999-02-23T00:00:00"/>
    <x v="1"/>
    <x v="351"/>
    <x v="1"/>
    <x v="1"/>
  </r>
  <r>
    <x v="352"/>
    <x v="345"/>
    <x v="23"/>
    <x v="4"/>
    <x v="1"/>
    <d v="1983-12-22T00:00:00"/>
    <x v="4"/>
    <x v="352"/>
    <x v="0"/>
    <x v="0"/>
  </r>
  <r>
    <x v="353"/>
    <x v="65"/>
    <x v="17"/>
    <x v="4"/>
    <x v="1"/>
    <d v="2005-09-01T00:00:00"/>
    <x v="16"/>
    <x v="353"/>
    <x v="2"/>
    <x v="0"/>
  </r>
  <r>
    <x v="354"/>
    <x v="346"/>
    <x v="5"/>
    <x v="2"/>
    <x v="1"/>
    <d v="1973-08-07T00:00:00"/>
    <x v="15"/>
    <x v="354"/>
    <x v="2"/>
    <x v="1"/>
  </r>
  <r>
    <x v="355"/>
    <x v="347"/>
    <x v="22"/>
    <x v="4"/>
    <x v="0"/>
    <d v="1986-04-06T00:00:00"/>
    <x v="16"/>
    <x v="355"/>
    <x v="2"/>
    <x v="1"/>
  </r>
  <r>
    <x v="356"/>
    <x v="215"/>
    <x v="36"/>
    <x v="4"/>
    <x v="1"/>
    <d v="1986-10-11T00:00:00"/>
    <x v="2"/>
    <x v="356"/>
    <x v="1"/>
    <x v="2"/>
  </r>
  <r>
    <x v="357"/>
    <x v="348"/>
    <x v="9"/>
    <x v="0"/>
    <x v="1"/>
    <d v="1975-11-14T00:00:00"/>
    <x v="2"/>
    <x v="357"/>
    <x v="1"/>
    <x v="2"/>
  </r>
  <r>
    <x v="358"/>
    <x v="349"/>
    <x v="29"/>
    <x v="4"/>
    <x v="0"/>
    <d v="1996-04-09T00:00:00"/>
    <x v="3"/>
    <x v="358"/>
    <x v="2"/>
    <x v="1"/>
  </r>
  <r>
    <x v="359"/>
    <x v="350"/>
    <x v="38"/>
    <x v="3"/>
    <x v="1"/>
    <d v="2012-08-29T00:00:00"/>
    <x v="25"/>
    <x v="359"/>
    <x v="1"/>
    <x v="2"/>
  </r>
  <r>
    <x v="360"/>
    <x v="351"/>
    <x v="18"/>
    <x v="2"/>
    <x v="0"/>
    <d v="2014-04-30T00:00:00"/>
    <x v="17"/>
    <x v="360"/>
    <x v="0"/>
    <x v="1"/>
  </r>
  <r>
    <x v="361"/>
    <x v="352"/>
    <x v="17"/>
    <x v="1"/>
    <x v="0"/>
    <d v="2012-01-02T00:00:00"/>
    <x v="17"/>
    <x v="361"/>
    <x v="2"/>
    <x v="1"/>
  </r>
  <r>
    <x v="362"/>
    <x v="353"/>
    <x v="36"/>
    <x v="1"/>
    <x v="0"/>
    <d v="1996-07-01T00:00:00"/>
    <x v="19"/>
    <x v="362"/>
    <x v="1"/>
    <x v="2"/>
  </r>
  <r>
    <x v="363"/>
    <x v="354"/>
    <x v="4"/>
    <x v="0"/>
    <x v="1"/>
    <d v="2017-02-06T00:00:00"/>
    <x v="22"/>
    <x v="363"/>
    <x v="0"/>
    <x v="0"/>
  </r>
  <r>
    <x v="364"/>
    <x v="355"/>
    <x v="41"/>
    <x v="2"/>
    <x v="0"/>
    <d v="1998-08-24T00:00:00"/>
    <x v="22"/>
    <x v="364"/>
    <x v="0"/>
    <x v="0"/>
  </r>
  <r>
    <x v="365"/>
    <x v="356"/>
    <x v="2"/>
    <x v="1"/>
    <x v="1"/>
    <d v="1972-03-31T00:00:00"/>
    <x v="5"/>
    <x v="365"/>
    <x v="2"/>
    <x v="1"/>
  </r>
  <r>
    <x v="366"/>
    <x v="357"/>
    <x v="28"/>
    <x v="1"/>
    <x v="1"/>
    <d v="1992-10-29T00:00:00"/>
    <x v="14"/>
    <x v="366"/>
    <x v="2"/>
    <x v="1"/>
  </r>
  <r>
    <x v="367"/>
    <x v="358"/>
    <x v="34"/>
    <x v="0"/>
    <x v="0"/>
    <d v="2017-12-02T00:00:00"/>
    <x v="9"/>
    <x v="367"/>
    <x v="2"/>
    <x v="1"/>
  </r>
  <r>
    <x v="368"/>
    <x v="359"/>
    <x v="23"/>
    <x v="2"/>
    <x v="1"/>
    <d v="2017-07-16T00:00:00"/>
    <x v="4"/>
    <x v="368"/>
    <x v="0"/>
    <x v="0"/>
  </r>
  <r>
    <x v="369"/>
    <x v="360"/>
    <x v="17"/>
    <x v="2"/>
    <x v="0"/>
    <d v="2010-08-31T00:00:00"/>
    <x v="3"/>
    <x v="369"/>
    <x v="2"/>
    <x v="1"/>
  </r>
  <r>
    <x v="370"/>
    <x v="361"/>
    <x v="17"/>
    <x v="4"/>
    <x v="1"/>
    <d v="2018-10-06T00:00:00"/>
    <x v="22"/>
    <x v="370"/>
    <x v="2"/>
    <x v="0"/>
  </r>
  <r>
    <x v="371"/>
    <x v="362"/>
    <x v="41"/>
    <x v="4"/>
    <x v="0"/>
    <d v="2006-01-01T00:00:00"/>
    <x v="13"/>
    <x v="371"/>
    <x v="0"/>
    <x v="0"/>
  </r>
  <r>
    <x v="372"/>
    <x v="363"/>
    <x v="20"/>
    <x v="3"/>
    <x v="0"/>
    <d v="1994-03-01T00:00:00"/>
    <x v="12"/>
    <x v="372"/>
    <x v="2"/>
    <x v="1"/>
  </r>
  <r>
    <x v="373"/>
    <x v="364"/>
    <x v="30"/>
    <x v="2"/>
    <x v="1"/>
    <d v="1988-09-25T00:00:00"/>
    <x v="28"/>
    <x v="373"/>
    <x v="0"/>
    <x v="0"/>
  </r>
  <r>
    <x v="374"/>
    <x v="365"/>
    <x v="9"/>
    <x v="1"/>
    <x v="0"/>
    <d v="2010-03-07T00:00:00"/>
    <x v="25"/>
    <x v="374"/>
    <x v="1"/>
    <x v="2"/>
  </r>
  <r>
    <x v="375"/>
    <x v="366"/>
    <x v="19"/>
    <x v="4"/>
    <x v="0"/>
    <d v="1989-09-29T00:00:00"/>
    <x v="3"/>
    <x v="375"/>
    <x v="2"/>
    <x v="1"/>
  </r>
  <r>
    <x v="376"/>
    <x v="367"/>
    <x v="27"/>
    <x v="0"/>
    <x v="1"/>
    <d v="1998-07-14T00:00:00"/>
    <x v="17"/>
    <x v="376"/>
    <x v="2"/>
    <x v="1"/>
  </r>
  <r>
    <x v="377"/>
    <x v="368"/>
    <x v="35"/>
    <x v="0"/>
    <x v="0"/>
    <d v="1995-06-14T00:00:00"/>
    <x v="19"/>
    <x v="377"/>
    <x v="1"/>
    <x v="2"/>
  </r>
  <r>
    <x v="378"/>
    <x v="369"/>
    <x v="30"/>
    <x v="4"/>
    <x v="1"/>
    <d v="1976-06-03T00:00:00"/>
    <x v="4"/>
    <x v="378"/>
    <x v="0"/>
    <x v="0"/>
  </r>
  <r>
    <x v="379"/>
    <x v="370"/>
    <x v="26"/>
    <x v="1"/>
    <x v="0"/>
    <d v="2020-06-29T00:00:00"/>
    <x v="29"/>
    <x v="379"/>
    <x v="1"/>
    <x v="2"/>
  </r>
  <r>
    <x v="380"/>
    <x v="371"/>
    <x v="33"/>
    <x v="4"/>
    <x v="0"/>
    <d v="2025-01-09T00:00:00"/>
    <x v="1"/>
    <x v="380"/>
    <x v="2"/>
    <x v="1"/>
  </r>
  <r>
    <x v="381"/>
    <x v="372"/>
    <x v="2"/>
    <x v="4"/>
    <x v="0"/>
    <d v="2003-05-08T00:00:00"/>
    <x v="15"/>
    <x v="381"/>
    <x v="2"/>
    <x v="1"/>
  </r>
  <r>
    <x v="382"/>
    <x v="373"/>
    <x v="23"/>
    <x v="0"/>
    <x v="1"/>
    <d v="2001-02-09T00:00:00"/>
    <x v="11"/>
    <x v="382"/>
    <x v="0"/>
    <x v="0"/>
  </r>
  <r>
    <x v="383"/>
    <x v="374"/>
    <x v="16"/>
    <x v="1"/>
    <x v="0"/>
    <d v="1990-06-13T00:00:00"/>
    <x v="7"/>
    <x v="383"/>
    <x v="2"/>
    <x v="1"/>
  </r>
  <r>
    <x v="384"/>
    <x v="375"/>
    <x v="10"/>
    <x v="3"/>
    <x v="1"/>
    <d v="2012-12-18T00:00:00"/>
    <x v="14"/>
    <x v="384"/>
    <x v="0"/>
    <x v="1"/>
  </r>
  <r>
    <x v="385"/>
    <x v="376"/>
    <x v="14"/>
    <x v="4"/>
    <x v="0"/>
    <d v="1978-07-01T00:00:00"/>
    <x v="20"/>
    <x v="385"/>
    <x v="2"/>
    <x v="1"/>
  </r>
  <r>
    <x v="386"/>
    <x v="377"/>
    <x v="4"/>
    <x v="2"/>
    <x v="0"/>
    <d v="2020-05-22T00:00:00"/>
    <x v="0"/>
    <x v="386"/>
    <x v="0"/>
    <x v="0"/>
  </r>
  <r>
    <x v="387"/>
    <x v="378"/>
    <x v="19"/>
    <x v="1"/>
    <x v="0"/>
    <d v="2000-05-27T00:00:00"/>
    <x v="14"/>
    <x v="387"/>
    <x v="2"/>
    <x v="1"/>
  </r>
  <r>
    <x v="388"/>
    <x v="379"/>
    <x v="27"/>
    <x v="2"/>
    <x v="0"/>
    <d v="1991-11-22T00:00:00"/>
    <x v="17"/>
    <x v="388"/>
    <x v="2"/>
    <x v="1"/>
  </r>
  <r>
    <x v="389"/>
    <x v="380"/>
    <x v="4"/>
    <x v="3"/>
    <x v="0"/>
    <d v="1980-03-21T00:00:00"/>
    <x v="21"/>
    <x v="389"/>
    <x v="0"/>
    <x v="0"/>
  </r>
  <r>
    <x v="390"/>
    <x v="381"/>
    <x v="9"/>
    <x v="4"/>
    <x v="1"/>
    <d v="2016-05-16T00:00:00"/>
    <x v="27"/>
    <x v="390"/>
    <x v="1"/>
    <x v="2"/>
  </r>
  <r>
    <x v="391"/>
    <x v="382"/>
    <x v="7"/>
    <x v="1"/>
    <x v="0"/>
    <d v="2015-10-21T00:00:00"/>
    <x v="5"/>
    <x v="391"/>
    <x v="2"/>
    <x v="1"/>
  </r>
  <r>
    <x v="392"/>
    <x v="383"/>
    <x v="18"/>
    <x v="2"/>
    <x v="0"/>
    <d v="2014-04-26T00:00:00"/>
    <x v="16"/>
    <x v="392"/>
    <x v="0"/>
    <x v="0"/>
  </r>
  <r>
    <x v="393"/>
    <x v="384"/>
    <x v="24"/>
    <x v="0"/>
    <x v="0"/>
    <d v="1977-08-15T00:00:00"/>
    <x v="16"/>
    <x v="393"/>
    <x v="2"/>
    <x v="1"/>
  </r>
  <r>
    <x v="394"/>
    <x v="385"/>
    <x v="29"/>
    <x v="4"/>
    <x v="0"/>
    <d v="1983-05-09T00:00:00"/>
    <x v="18"/>
    <x v="394"/>
    <x v="2"/>
    <x v="1"/>
  </r>
  <r>
    <x v="395"/>
    <x v="386"/>
    <x v="36"/>
    <x v="4"/>
    <x v="0"/>
    <d v="1988-03-28T00:00:00"/>
    <x v="19"/>
    <x v="395"/>
    <x v="1"/>
    <x v="1"/>
  </r>
  <r>
    <x v="396"/>
    <x v="387"/>
    <x v="35"/>
    <x v="0"/>
    <x v="1"/>
    <d v="1973-11-24T00:00:00"/>
    <x v="7"/>
    <x v="396"/>
    <x v="1"/>
    <x v="1"/>
  </r>
  <r>
    <x v="397"/>
    <x v="137"/>
    <x v="2"/>
    <x v="1"/>
    <x v="1"/>
    <d v="2018-04-16T00:00:00"/>
    <x v="15"/>
    <x v="397"/>
    <x v="2"/>
    <x v="1"/>
  </r>
  <r>
    <x v="398"/>
    <x v="388"/>
    <x v="37"/>
    <x v="4"/>
    <x v="0"/>
    <d v="2017-08-23T00:00:00"/>
    <x v="22"/>
    <x v="398"/>
    <x v="0"/>
    <x v="0"/>
  </r>
  <r>
    <x v="399"/>
    <x v="389"/>
    <x v="24"/>
    <x v="4"/>
    <x v="1"/>
    <d v="1987-01-24T00:00:00"/>
    <x v="10"/>
    <x v="399"/>
    <x v="2"/>
    <x v="1"/>
  </r>
  <r>
    <x v="400"/>
    <x v="390"/>
    <x v="14"/>
    <x v="0"/>
    <x v="1"/>
    <d v="2017-12-12T00:00:00"/>
    <x v="18"/>
    <x v="400"/>
    <x v="2"/>
    <x v="1"/>
  </r>
  <r>
    <x v="401"/>
    <x v="391"/>
    <x v="9"/>
    <x v="0"/>
    <x v="0"/>
    <d v="2003-07-29T00:00:00"/>
    <x v="19"/>
    <x v="401"/>
    <x v="1"/>
    <x v="2"/>
  </r>
  <r>
    <x v="402"/>
    <x v="392"/>
    <x v="11"/>
    <x v="0"/>
    <x v="1"/>
    <d v="1984-11-26T00:00:00"/>
    <x v="17"/>
    <x v="402"/>
    <x v="2"/>
    <x v="1"/>
  </r>
  <r>
    <x v="403"/>
    <x v="393"/>
    <x v="12"/>
    <x v="0"/>
    <x v="1"/>
    <d v="1976-12-18T00:00:00"/>
    <x v="3"/>
    <x v="403"/>
    <x v="2"/>
    <x v="1"/>
  </r>
  <r>
    <x v="404"/>
    <x v="394"/>
    <x v="35"/>
    <x v="2"/>
    <x v="0"/>
    <d v="1976-07-13T00:00:00"/>
    <x v="19"/>
    <x v="404"/>
    <x v="1"/>
    <x v="2"/>
  </r>
  <r>
    <x v="405"/>
    <x v="395"/>
    <x v="26"/>
    <x v="4"/>
    <x v="1"/>
    <d v="2004-05-16T00:00:00"/>
    <x v="25"/>
    <x v="405"/>
    <x v="1"/>
    <x v="2"/>
  </r>
  <r>
    <x v="406"/>
    <x v="396"/>
    <x v="10"/>
    <x v="1"/>
    <x v="1"/>
    <d v="1986-10-27T00:00:00"/>
    <x v="14"/>
    <x v="406"/>
    <x v="0"/>
    <x v="1"/>
  </r>
  <r>
    <x v="407"/>
    <x v="397"/>
    <x v="40"/>
    <x v="4"/>
    <x v="0"/>
    <d v="2003-01-09T00:00:00"/>
    <x v="14"/>
    <x v="407"/>
    <x v="0"/>
    <x v="1"/>
  </r>
  <r>
    <x v="408"/>
    <x v="398"/>
    <x v="36"/>
    <x v="3"/>
    <x v="0"/>
    <d v="2002-03-27T00:00:00"/>
    <x v="15"/>
    <x v="408"/>
    <x v="1"/>
    <x v="1"/>
  </r>
  <r>
    <x v="409"/>
    <x v="399"/>
    <x v="41"/>
    <x v="1"/>
    <x v="1"/>
    <d v="2020-05-02T00:00:00"/>
    <x v="11"/>
    <x v="409"/>
    <x v="0"/>
    <x v="0"/>
  </r>
  <r>
    <x v="410"/>
    <x v="400"/>
    <x v="21"/>
    <x v="0"/>
    <x v="0"/>
    <d v="2009-01-25T00:00:00"/>
    <x v="22"/>
    <x v="410"/>
    <x v="0"/>
    <x v="0"/>
  </r>
  <r>
    <x v="411"/>
    <x v="401"/>
    <x v="8"/>
    <x v="3"/>
    <x v="0"/>
    <d v="2018-04-21T00:00:00"/>
    <x v="15"/>
    <x v="411"/>
    <x v="2"/>
    <x v="1"/>
  </r>
  <r>
    <x v="412"/>
    <x v="358"/>
    <x v="5"/>
    <x v="2"/>
    <x v="0"/>
    <d v="1980-11-19T00:00:00"/>
    <x v="2"/>
    <x v="412"/>
    <x v="2"/>
    <x v="2"/>
  </r>
  <r>
    <x v="413"/>
    <x v="402"/>
    <x v="27"/>
    <x v="0"/>
    <x v="0"/>
    <d v="1993-05-15T00:00:00"/>
    <x v="3"/>
    <x v="413"/>
    <x v="2"/>
    <x v="1"/>
  </r>
  <r>
    <x v="414"/>
    <x v="403"/>
    <x v="33"/>
    <x v="4"/>
    <x v="0"/>
    <d v="1975-05-16T00:00:00"/>
    <x v="15"/>
    <x v="414"/>
    <x v="2"/>
    <x v="1"/>
  </r>
  <r>
    <x v="415"/>
    <x v="404"/>
    <x v="9"/>
    <x v="3"/>
    <x v="0"/>
    <d v="2011-10-16T00:00:00"/>
    <x v="2"/>
    <x v="415"/>
    <x v="1"/>
    <x v="2"/>
  </r>
  <r>
    <x v="416"/>
    <x v="405"/>
    <x v="11"/>
    <x v="2"/>
    <x v="1"/>
    <d v="1979-09-11T00:00:00"/>
    <x v="3"/>
    <x v="416"/>
    <x v="2"/>
    <x v="1"/>
  </r>
  <r>
    <x v="417"/>
    <x v="406"/>
    <x v="9"/>
    <x v="4"/>
    <x v="0"/>
    <d v="1983-03-08T00:00:00"/>
    <x v="27"/>
    <x v="417"/>
    <x v="1"/>
    <x v="2"/>
  </r>
  <r>
    <x v="418"/>
    <x v="407"/>
    <x v="33"/>
    <x v="2"/>
    <x v="1"/>
    <d v="2020-12-11T00:00:00"/>
    <x v="12"/>
    <x v="418"/>
    <x v="2"/>
    <x v="1"/>
  </r>
  <r>
    <x v="419"/>
    <x v="408"/>
    <x v="33"/>
    <x v="4"/>
    <x v="1"/>
    <d v="2003-04-19T00:00:00"/>
    <x v="9"/>
    <x v="419"/>
    <x v="2"/>
    <x v="1"/>
  </r>
  <r>
    <x v="420"/>
    <x v="409"/>
    <x v="12"/>
    <x v="0"/>
    <x v="0"/>
    <d v="1999-12-21T00:00:00"/>
    <x v="10"/>
    <x v="420"/>
    <x v="2"/>
    <x v="1"/>
  </r>
  <r>
    <x v="421"/>
    <x v="410"/>
    <x v="2"/>
    <x v="2"/>
    <x v="1"/>
    <d v="2012-02-29T00:00:00"/>
    <x v="19"/>
    <x v="421"/>
    <x v="2"/>
    <x v="2"/>
  </r>
  <r>
    <x v="422"/>
    <x v="411"/>
    <x v="31"/>
    <x v="4"/>
    <x v="0"/>
    <d v="2022-07-06T00:00:00"/>
    <x v="8"/>
    <x v="422"/>
    <x v="0"/>
    <x v="0"/>
  </r>
  <r>
    <x v="423"/>
    <x v="412"/>
    <x v="0"/>
    <x v="3"/>
    <x v="0"/>
    <d v="1994-02-28T00:00:00"/>
    <x v="11"/>
    <x v="423"/>
    <x v="0"/>
    <x v="0"/>
  </r>
  <r>
    <x v="424"/>
    <x v="413"/>
    <x v="33"/>
    <x v="0"/>
    <x v="1"/>
    <d v="1983-09-03T00:00:00"/>
    <x v="5"/>
    <x v="424"/>
    <x v="2"/>
    <x v="1"/>
  </r>
  <r>
    <x v="425"/>
    <x v="414"/>
    <x v="41"/>
    <x v="1"/>
    <x v="0"/>
    <d v="2015-11-24T00:00:00"/>
    <x v="22"/>
    <x v="425"/>
    <x v="0"/>
    <x v="0"/>
  </r>
  <r>
    <x v="426"/>
    <x v="415"/>
    <x v="20"/>
    <x v="0"/>
    <x v="0"/>
    <d v="2010-02-22T00:00:00"/>
    <x v="18"/>
    <x v="426"/>
    <x v="2"/>
    <x v="1"/>
  </r>
  <r>
    <x v="427"/>
    <x v="416"/>
    <x v="28"/>
    <x v="4"/>
    <x v="1"/>
    <d v="2006-04-20T00:00:00"/>
    <x v="10"/>
    <x v="427"/>
    <x v="2"/>
    <x v="1"/>
  </r>
  <r>
    <x v="428"/>
    <x v="417"/>
    <x v="24"/>
    <x v="0"/>
    <x v="0"/>
    <d v="1998-08-16T00:00:00"/>
    <x v="17"/>
    <x v="428"/>
    <x v="2"/>
    <x v="1"/>
  </r>
  <r>
    <x v="429"/>
    <x v="418"/>
    <x v="17"/>
    <x v="4"/>
    <x v="0"/>
    <d v="2022-01-09T00:00:00"/>
    <x v="16"/>
    <x v="429"/>
    <x v="2"/>
    <x v="0"/>
  </r>
  <r>
    <x v="430"/>
    <x v="419"/>
    <x v="6"/>
    <x v="0"/>
    <x v="0"/>
    <d v="1987-05-14T00:00:00"/>
    <x v="4"/>
    <x v="430"/>
    <x v="0"/>
    <x v="0"/>
  </r>
  <r>
    <x v="431"/>
    <x v="420"/>
    <x v="17"/>
    <x v="0"/>
    <x v="0"/>
    <d v="2021-05-30T00:00:00"/>
    <x v="14"/>
    <x v="431"/>
    <x v="2"/>
    <x v="1"/>
  </r>
  <r>
    <x v="432"/>
    <x v="421"/>
    <x v="36"/>
    <x v="1"/>
    <x v="1"/>
    <d v="1979-02-09T00:00:00"/>
    <x v="7"/>
    <x v="432"/>
    <x v="1"/>
    <x v="1"/>
  </r>
  <r>
    <x v="433"/>
    <x v="422"/>
    <x v="27"/>
    <x v="1"/>
    <x v="0"/>
    <d v="1978-07-13T00:00:00"/>
    <x v="18"/>
    <x v="433"/>
    <x v="2"/>
    <x v="1"/>
  </r>
  <r>
    <x v="434"/>
    <x v="332"/>
    <x v="1"/>
    <x v="1"/>
    <x v="0"/>
    <d v="2018-06-22T00:00:00"/>
    <x v="7"/>
    <x v="434"/>
    <x v="1"/>
    <x v="1"/>
  </r>
  <r>
    <x v="435"/>
    <x v="423"/>
    <x v="31"/>
    <x v="1"/>
    <x v="0"/>
    <d v="1999-07-11T00:00:00"/>
    <x v="11"/>
    <x v="435"/>
    <x v="0"/>
    <x v="0"/>
  </r>
  <r>
    <x v="436"/>
    <x v="424"/>
    <x v="22"/>
    <x v="3"/>
    <x v="0"/>
    <d v="1971-06-06T00:00:00"/>
    <x v="14"/>
    <x v="436"/>
    <x v="2"/>
    <x v="1"/>
  </r>
  <r>
    <x v="437"/>
    <x v="425"/>
    <x v="17"/>
    <x v="2"/>
    <x v="0"/>
    <d v="1985-11-29T00:00:00"/>
    <x v="3"/>
    <x v="437"/>
    <x v="2"/>
    <x v="1"/>
  </r>
  <r>
    <x v="438"/>
    <x v="426"/>
    <x v="21"/>
    <x v="1"/>
    <x v="0"/>
    <d v="1972-09-14T00:00:00"/>
    <x v="11"/>
    <x v="438"/>
    <x v="0"/>
    <x v="0"/>
  </r>
  <r>
    <x v="439"/>
    <x v="427"/>
    <x v="19"/>
    <x v="1"/>
    <x v="0"/>
    <d v="1993-06-27T00:00:00"/>
    <x v="14"/>
    <x v="439"/>
    <x v="2"/>
    <x v="1"/>
  </r>
  <r>
    <x v="440"/>
    <x v="428"/>
    <x v="25"/>
    <x v="3"/>
    <x v="1"/>
    <d v="1973-03-02T00:00:00"/>
    <x v="12"/>
    <x v="440"/>
    <x v="2"/>
    <x v="1"/>
  </r>
  <r>
    <x v="441"/>
    <x v="429"/>
    <x v="14"/>
    <x v="2"/>
    <x v="0"/>
    <d v="1982-06-09T00:00:00"/>
    <x v="17"/>
    <x v="441"/>
    <x v="2"/>
    <x v="1"/>
  </r>
  <r>
    <x v="442"/>
    <x v="430"/>
    <x v="40"/>
    <x v="2"/>
    <x v="0"/>
    <d v="2012-11-05T00:00:00"/>
    <x v="8"/>
    <x v="442"/>
    <x v="0"/>
    <x v="0"/>
  </r>
  <r>
    <x v="443"/>
    <x v="431"/>
    <x v="40"/>
    <x v="0"/>
    <x v="1"/>
    <d v="2018-12-17T00:00:00"/>
    <x v="16"/>
    <x v="443"/>
    <x v="0"/>
    <x v="0"/>
  </r>
  <r>
    <x v="444"/>
    <x v="432"/>
    <x v="32"/>
    <x v="1"/>
    <x v="1"/>
    <d v="2000-10-15T00:00:00"/>
    <x v="11"/>
    <x v="444"/>
    <x v="0"/>
    <x v="0"/>
  </r>
  <r>
    <x v="445"/>
    <x v="433"/>
    <x v="21"/>
    <x v="3"/>
    <x v="1"/>
    <d v="1972-05-24T00:00:00"/>
    <x v="22"/>
    <x v="445"/>
    <x v="0"/>
    <x v="0"/>
  </r>
  <r>
    <x v="446"/>
    <x v="434"/>
    <x v="38"/>
    <x v="3"/>
    <x v="0"/>
    <d v="1997-01-23T00:00:00"/>
    <x v="27"/>
    <x v="446"/>
    <x v="1"/>
    <x v="2"/>
  </r>
  <r>
    <x v="447"/>
    <x v="435"/>
    <x v="38"/>
    <x v="1"/>
    <x v="1"/>
    <d v="1987-09-01T00:00:00"/>
    <x v="26"/>
    <x v="447"/>
    <x v="1"/>
    <x v="2"/>
  </r>
  <r>
    <x v="448"/>
    <x v="436"/>
    <x v="22"/>
    <x v="0"/>
    <x v="0"/>
    <d v="1997-10-26T00:00:00"/>
    <x v="3"/>
    <x v="448"/>
    <x v="2"/>
    <x v="1"/>
  </r>
  <r>
    <x v="449"/>
    <x v="437"/>
    <x v="28"/>
    <x v="0"/>
    <x v="1"/>
    <d v="2003-06-07T00:00:00"/>
    <x v="13"/>
    <x v="449"/>
    <x v="2"/>
    <x v="0"/>
  </r>
  <r>
    <x v="450"/>
    <x v="438"/>
    <x v="17"/>
    <x v="1"/>
    <x v="0"/>
    <d v="2004-08-18T00:00:00"/>
    <x v="22"/>
    <x v="450"/>
    <x v="2"/>
    <x v="0"/>
  </r>
  <r>
    <x v="451"/>
    <x v="439"/>
    <x v="5"/>
    <x v="0"/>
    <x v="1"/>
    <d v="2007-06-14T00:00:00"/>
    <x v="7"/>
    <x v="451"/>
    <x v="2"/>
    <x v="1"/>
  </r>
  <r>
    <x v="452"/>
    <x v="440"/>
    <x v="20"/>
    <x v="1"/>
    <x v="1"/>
    <d v="2008-11-09T00:00:00"/>
    <x v="18"/>
    <x v="452"/>
    <x v="2"/>
    <x v="1"/>
  </r>
  <r>
    <x v="453"/>
    <x v="441"/>
    <x v="14"/>
    <x v="3"/>
    <x v="1"/>
    <d v="2006-08-16T00:00:00"/>
    <x v="14"/>
    <x v="453"/>
    <x v="2"/>
    <x v="1"/>
  </r>
  <r>
    <x v="454"/>
    <x v="442"/>
    <x v="18"/>
    <x v="0"/>
    <x v="1"/>
    <d v="2022-03-02T00:00:00"/>
    <x v="13"/>
    <x v="454"/>
    <x v="0"/>
    <x v="0"/>
  </r>
  <r>
    <x v="455"/>
    <x v="443"/>
    <x v="7"/>
    <x v="2"/>
    <x v="1"/>
    <d v="2021-03-12T00:00:00"/>
    <x v="9"/>
    <x v="455"/>
    <x v="2"/>
    <x v="1"/>
  </r>
  <r>
    <x v="456"/>
    <x v="444"/>
    <x v="0"/>
    <x v="2"/>
    <x v="0"/>
    <d v="2011-08-15T00:00:00"/>
    <x v="13"/>
    <x v="456"/>
    <x v="0"/>
    <x v="0"/>
  </r>
  <r>
    <x v="457"/>
    <x v="445"/>
    <x v="28"/>
    <x v="3"/>
    <x v="0"/>
    <d v="2023-10-28T00:00:00"/>
    <x v="18"/>
    <x v="457"/>
    <x v="2"/>
    <x v="1"/>
  </r>
  <r>
    <x v="458"/>
    <x v="446"/>
    <x v="17"/>
    <x v="1"/>
    <x v="1"/>
    <d v="1973-09-01T00:00:00"/>
    <x v="14"/>
    <x v="458"/>
    <x v="2"/>
    <x v="1"/>
  </r>
  <r>
    <x v="459"/>
    <x v="447"/>
    <x v="18"/>
    <x v="4"/>
    <x v="1"/>
    <d v="2021-02-09T00:00:00"/>
    <x v="22"/>
    <x v="459"/>
    <x v="0"/>
    <x v="0"/>
  </r>
  <r>
    <x v="460"/>
    <x v="448"/>
    <x v="10"/>
    <x v="3"/>
    <x v="0"/>
    <d v="1984-05-20T00:00:00"/>
    <x v="17"/>
    <x v="460"/>
    <x v="0"/>
    <x v="1"/>
  </r>
  <r>
    <x v="461"/>
    <x v="449"/>
    <x v="27"/>
    <x v="1"/>
    <x v="1"/>
    <d v="1995-11-20T00:00:00"/>
    <x v="18"/>
    <x v="461"/>
    <x v="2"/>
    <x v="1"/>
  </r>
  <r>
    <x v="462"/>
    <x v="450"/>
    <x v="40"/>
    <x v="2"/>
    <x v="0"/>
    <d v="1998-08-23T00:00:00"/>
    <x v="0"/>
    <x v="462"/>
    <x v="0"/>
    <x v="0"/>
  </r>
  <r>
    <x v="463"/>
    <x v="451"/>
    <x v="18"/>
    <x v="3"/>
    <x v="1"/>
    <d v="1988-03-24T00:00:00"/>
    <x v="12"/>
    <x v="463"/>
    <x v="0"/>
    <x v="1"/>
  </r>
  <r>
    <x v="464"/>
    <x v="452"/>
    <x v="24"/>
    <x v="3"/>
    <x v="1"/>
    <d v="1982-06-24T00:00:00"/>
    <x v="12"/>
    <x v="464"/>
    <x v="2"/>
    <x v="1"/>
  </r>
  <r>
    <x v="465"/>
    <x v="453"/>
    <x v="18"/>
    <x v="2"/>
    <x v="1"/>
    <d v="2000-09-11T00:00:00"/>
    <x v="4"/>
    <x v="465"/>
    <x v="0"/>
    <x v="0"/>
  </r>
  <r>
    <x v="466"/>
    <x v="454"/>
    <x v="31"/>
    <x v="3"/>
    <x v="0"/>
    <d v="1991-02-01T00:00:00"/>
    <x v="11"/>
    <x v="466"/>
    <x v="0"/>
    <x v="0"/>
  </r>
  <r>
    <x v="467"/>
    <x v="455"/>
    <x v="33"/>
    <x v="1"/>
    <x v="0"/>
    <d v="1987-06-08T00:00:00"/>
    <x v="12"/>
    <x v="467"/>
    <x v="2"/>
    <x v="1"/>
  </r>
  <r>
    <x v="468"/>
    <x v="456"/>
    <x v="42"/>
    <x v="1"/>
    <x v="0"/>
    <d v="2007-10-09T00:00:00"/>
    <x v="9"/>
    <x v="468"/>
    <x v="2"/>
    <x v="1"/>
  </r>
  <r>
    <x v="469"/>
    <x v="457"/>
    <x v="9"/>
    <x v="3"/>
    <x v="1"/>
    <d v="1985-09-08T00:00:00"/>
    <x v="27"/>
    <x v="469"/>
    <x v="1"/>
    <x v="2"/>
  </r>
  <r>
    <x v="470"/>
    <x v="458"/>
    <x v="36"/>
    <x v="4"/>
    <x v="1"/>
    <d v="1971-05-08T00:00:00"/>
    <x v="27"/>
    <x v="470"/>
    <x v="1"/>
    <x v="2"/>
  </r>
  <r>
    <x v="471"/>
    <x v="459"/>
    <x v="36"/>
    <x v="3"/>
    <x v="0"/>
    <d v="1976-10-21T00:00:00"/>
    <x v="5"/>
    <x v="471"/>
    <x v="1"/>
    <x v="1"/>
  </r>
  <r>
    <x v="472"/>
    <x v="460"/>
    <x v="0"/>
    <x v="1"/>
    <x v="0"/>
    <d v="2002-09-25T00:00:00"/>
    <x v="6"/>
    <x v="472"/>
    <x v="0"/>
    <x v="0"/>
  </r>
  <r>
    <x v="473"/>
    <x v="461"/>
    <x v="14"/>
    <x v="3"/>
    <x v="0"/>
    <d v="1978-06-08T00:00:00"/>
    <x v="20"/>
    <x v="473"/>
    <x v="2"/>
    <x v="1"/>
  </r>
  <r>
    <x v="474"/>
    <x v="462"/>
    <x v="22"/>
    <x v="1"/>
    <x v="1"/>
    <d v="2006-08-17T00:00:00"/>
    <x v="14"/>
    <x v="474"/>
    <x v="2"/>
    <x v="1"/>
  </r>
  <r>
    <x v="475"/>
    <x v="463"/>
    <x v="24"/>
    <x v="1"/>
    <x v="1"/>
    <d v="1974-04-23T00:00:00"/>
    <x v="13"/>
    <x v="475"/>
    <x v="2"/>
    <x v="0"/>
  </r>
  <r>
    <x v="476"/>
    <x v="464"/>
    <x v="11"/>
    <x v="1"/>
    <x v="1"/>
    <d v="2025-05-26T00:00:00"/>
    <x v="12"/>
    <x v="476"/>
    <x v="2"/>
    <x v="1"/>
  </r>
  <r>
    <x v="477"/>
    <x v="465"/>
    <x v="10"/>
    <x v="2"/>
    <x v="1"/>
    <d v="1986-11-28T00:00:00"/>
    <x v="14"/>
    <x v="477"/>
    <x v="0"/>
    <x v="1"/>
  </r>
  <r>
    <x v="478"/>
    <x v="466"/>
    <x v="23"/>
    <x v="4"/>
    <x v="0"/>
    <d v="1974-08-28T00:00:00"/>
    <x v="11"/>
    <x v="478"/>
    <x v="0"/>
    <x v="0"/>
  </r>
  <r>
    <x v="479"/>
    <x v="467"/>
    <x v="15"/>
    <x v="1"/>
    <x v="1"/>
    <d v="2011-07-17T00:00:00"/>
    <x v="11"/>
    <x v="479"/>
    <x v="0"/>
    <x v="0"/>
  </r>
  <r>
    <x v="480"/>
    <x v="468"/>
    <x v="14"/>
    <x v="2"/>
    <x v="0"/>
    <d v="2011-11-30T00:00:00"/>
    <x v="16"/>
    <x v="480"/>
    <x v="2"/>
    <x v="0"/>
  </r>
  <r>
    <x v="481"/>
    <x v="469"/>
    <x v="9"/>
    <x v="4"/>
    <x v="1"/>
    <d v="1973-03-27T00:00:00"/>
    <x v="27"/>
    <x v="481"/>
    <x v="1"/>
    <x v="2"/>
  </r>
  <r>
    <x v="482"/>
    <x v="470"/>
    <x v="27"/>
    <x v="3"/>
    <x v="1"/>
    <d v="1994-10-27T00:00:00"/>
    <x v="18"/>
    <x v="482"/>
    <x v="2"/>
    <x v="1"/>
  </r>
  <r>
    <x v="483"/>
    <x v="471"/>
    <x v="15"/>
    <x v="0"/>
    <x v="0"/>
    <d v="2011-12-04T00:00:00"/>
    <x v="11"/>
    <x v="483"/>
    <x v="0"/>
    <x v="0"/>
  </r>
  <r>
    <x v="484"/>
    <x v="472"/>
    <x v="0"/>
    <x v="1"/>
    <x v="1"/>
    <d v="1971-08-13T00:00:00"/>
    <x v="21"/>
    <x v="484"/>
    <x v="0"/>
    <x v="0"/>
  </r>
  <r>
    <x v="485"/>
    <x v="473"/>
    <x v="3"/>
    <x v="3"/>
    <x v="1"/>
    <d v="2018-11-15T00:00:00"/>
    <x v="16"/>
    <x v="485"/>
    <x v="2"/>
    <x v="1"/>
  </r>
  <r>
    <x v="486"/>
    <x v="474"/>
    <x v="27"/>
    <x v="0"/>
    <x v="0"/>
    <d v="1987-07-29T00:00:00"/>
    <x v="14"/>
    <x v="486"/>
    <x v="2"/>
    <x v="1"/>
  </r>
  <r>
    <x v="487"/>
    <x v="475"/>
    <x v="34"/>
    <x v="1"/>
    <x v="1"/>
    <d v="2001-04-14T00:00:00"/>
    <x v="5"/>
    <x v="487"/>
    <x v="2"/>
    <x v="1"/>
  </r>
  <r>
    <x v="488"/>
    <x v="476"/>
    <x v="6"/>
    <x v="4"/>
    <x v="0"/>
    <d v="2001-10-01T00:00:00"/>
    <x v="24"/>
    <x v="488"/>
    <x v="0"/>
    <x v="0"/>
  </r>
  <r>
    <x v="489"/>
    <x v="477"/>
    <x v="22"/>
    <x v="4"/>
    <x v="1"/>
    <d v="1974-05-27T00:00:00"/>
    <x v="20"/>
    <x v="489"/>
    <x v="2"/>
    <x v="1"/>
  </r>
  <r>
    <x v="490"/>
    <x v="478"/>
    <x v="39"/>
    <x v="2"/>
    <x v="0"/>
    <d v="1986-10-07T00:00:00"/>
    <x v="7"/>
    <x v="490"/>
    <x v="1"/>
    <x v="1"/>
  </r>
  <r>
    <x v="491"/>
    <x v="479"/>
    <x v="36"/>
    <x v="0"/>
    <x v="1"/>
    <d v="1975-11-22T00:00:00"/>
    <x v="5"/>
    <x v="491"/>
    <x v="1"/>
    <x v="1"/>
  </r>
  <r>
    <x v="492"/>
    <x v="480"/>
    <x v="11"/>
    <x v="3"/>
    <x v="1"/>
    <d v="1993-10-24T00:00:00"/>
    <x v="20"/>
    <x v="492"/>
    <x v="2"/>
    <x v="1"/>
  </r>
  <r>
    <x v="493"/>
    <x v="173"/>
    <x v="27"/>
    <x v="4"/>
    <x v="0"/>
    <d v="1973-01-17T00:00:00"/>
    <x v="17"/>
    <x v="493"/>
    <x v="2"/>
    <x v="1"/>
  </r>
  <r>
    <x v="494"/>
    <x v="481"/>
    <x v="32"/>
    <x v="3"/>
    <x v="0"/>
    <d v="2014-05-30T00:00:00"/>
    <x v="4"/>
    <x v="494"/>
    <x v="0"/>
    <x v="0"/>
  </r>
  <r>
    <x v="495"/>
    <x v="482"/>
    <x v="16"/>
    <x v="2"/>
    <x v="1"/>
    <d v="2013-12-04T00:00:00"/>
    <x v="15"/>
    <x v="495"/>
    <x v="2"/>
    <x v="1"/>
  </r>
  <r>
    <x v="496"/>
    <x v="483"/>
    <x v="35"/>
    <x v="4"/>
    <x v="1"/>
    <d v="2022-05-02T00:00:00"/>
    <x v="7"/>
    <x v="496"/>
    <x v="1"/>
    <x v="1"/>
  </r>
  <r>
    <x v="497"/>
    <x v="484"/>
    <x v="8"/>
    <x v="0"/>
    <x v="0"/>
    <d v="2025-04-22T00:00:00"/>
    <x v="15"/>
    <x v="497"/>
    <x v="2"/>
    <x v="1"/>
  </r>
  <r>
    <x v="498"/>
    <x v="485"/>
    <x v="0"/>
    <x v="3"/>
    <x v="0"/>
    <d v="1970-01-13T00:00:00"/>
    <x v="22"/>
    <x v="498"/>
    <x v="0"/>
    <x v="0"/>
  </r>
  <r>
    <x v="499"/>
    <x v="486"/>
    <x v="39"/>
    <x v="0"/>
    <x v="1"/>
    <d v="1988-06-21T00:00:00"/>
    <x v="7"/>
    <x v="499"/>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0AF4E0-1C3A-41C2-9AC6-FE7DE63329A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C">
  <location ref="A91:B97" firstHeaderRow="1" firstDataRow="1" firstDataCol="1"/>
  <pivotFields count="10">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488">
        <item x="103"/>
        <item x="448"/>
        <item x="112"/>
        <item x="366"/>
        <item x="95"/>
        <item x="129"/>
        <item x="200"/>
        <item x="104"/>
        <item x="302"/>
        <item x="169"/>
        <item x="144"/>
        <item x="126"/>
        <item x="131"/>
        <item x="340"/>
        <item x="213"/>
        <item x="44"/>
        <item x="48"/>
        <item x="286"/>
        <item x="226"/>
        <item x="305"/>
        <item x="418"/>
        <item x="151"/>
        <item x="452"/>
        <item x="455"/>
        <item x="38"/>
        <item x="409"/>
        <item x="456"/>
        <item x="475"/>
        <item x="367"/>
        <item x="215"/>
        <item x="295"/>
        <item x="310"/>
        <item x="142"/>
        <item x="292"/>
        <item x="59"/>
        <item x="225"/>
        <item x="397"/>
        <item x="98"/>
        <item x="361"/>
        <item x="154"/>
        <item x="465"/>
        <item x="427"/>
        <item x="134"/>
        <item x="250"/>
        <item x="146"/>
        <item x="117"/>
        <item x="201"/>
        <item x="158"/>
        <item x="125"/>
        <item x="326"/>
        <item x="333"/>
        <item x="457"/>
        <item x="352"/>
        <item x="237"/>
        <item x="46"/>
        <item x="291"/>
        <item x="421"/>
        <item x="190"/>
        <item x="470"/>
        <item x="255"/>
        <item x="386"/>
        <item x="157"/>
        <item x="317"/>
        <item x="259"/>
        <item x="442"/>
        <item x="147"/>
        <item x="195"/>
        <item x="478"/>
        <item x="334"/>
        <item x="167"/>
        <item x="63"/>
        <item x="371"/>
        <item x="301"/>
        <item x="161"/>
        <item x="139"/>
        <item x="336"/>
        <item x="354"/>
        <item x="253"/>
        <item x="24"/>
        <item x="306"/>
        <item x="263"/>
        <item x="132"/>
        <item x="119"/>
        <item x="375"/>
        <item x="55"/>
        <item x="143"/>
        <item x="368"/>
        <item x="221"/>
        <item x="308"/>
        <item x="434"/>
        <item x="454"/>
        <item x="414"/>
        <item x="416"/>
        <item x="217"/>
        <item x="219"/>
        <item x="228"/>
        <item x="3"/>
        <item x="148"/>
        <item x="47"/>
        <item x="54"/>
        <item x="372"/>
        <item x="393"/>
        <item x="210"/>
        <item x="208"/>
        <item x="82"/>
        <item x="192"/>
        <item x="329"/>
        <item x="387"/>
        <item x="370"/>
        <item x="197"/>
        <item x="198"/>
        <item x="25"/>
        <item x="337"/>
        <item x="171"/>
        <item x="88"/>
        <item x="53"/>
        <item x="303"/>
        <item x="264"/>
        <item x="68"/>
        <item x="235"/>
        <item x="419"/>
        <item x="392"/>
        <item x="100"/>
        <item x="214"/>
        <item x="436"/>
        <item x="41"/>
        <item x="153"/>
        <item x="90"/>
        <item x="130"/>
        <item x="106"/>
        <item x="435"/>
        <item x="240"/>
        <item x="355"/>
        <item x="252"/>
        <item x="287"/>
        <item x="70"/>
        <item x="318"/>
        <item x="30"/>
        <item x="461"/>
        <item x="428"/>
        <item x="140"/>
        <item x="319"/>
        <item x="79"/>
        <item x="468"/>
        <item x="29"/>
        <item x="247"/>
        <item x="279"/>
        <item x="175"/>
        <item x="31"/>
        <item x="43"/>
        <item x="408"/>
        <item x="115"/>
        <item x="164"/>
        <item x="124"/>
        <item x="481"/>
        <item x="21"/>
        <item x="39"/>
        <item x="249"/>
        <item x="150"/>
        <item x="35"/>
        <item x="173"/>
        <item x="99"/>
        <item x="268"/>
        <item x="389"/>
        <item x="327"/>
        <item x="467"/>
        <item x="180"/>
        <item x="227"/>
        <item x="89"/>
        <item x="172"/>
        <item x="224"/>
        <item x="348"/>
        <item x="187"/>
        <item x="19"/>
        <item x="49"/>
        <item x="294"/>
        <item x="203"/>
        <item x="152"/>
        <item x="12"/>
        <item x="92"/>
        <item x="351"/>
        <item x="96"/>
        <item x="404"/>
        <item x="464"/>
        <item x="358"/>
        <item x="378"/>
        <item x="388"/>
        <item x="133"/>
        <item x="400"/>
        <item x="277"/>
        <item x="424"/>
        <item x="407"/>
        <item x="269"/>
        <item x="118"/>
        <item x="258"/>
        <item x="373"/>
        <item x="244"/>
        <item x="23"/>
        <item x="458"/>
        <item x="83"/>
        <item x="156"/>
        <item x="66"/>
        <item x="60"/>
        <item x="437"/>
        <item x="241"/>
        <item x="135"/>
        <item x="353"/>
        <item x="232"/>
        <item x="102"/>
        <item x="383"/>
        <item x="185"/>
        <item x="283"/>
        <item x="425"/>
        <item x="181"/>
        <item x="431"/>
        <item x="58"/>
        <item x="332"/>
        <item x="120"/>
        <item x="449"/>
        <item x="145"/>
        <item x="242"/>
        <item x="402"/>
        <item x="314"/>
        <item x="93"/>
        <item x="254"/>
        <item x="110"/>
        <item x="216"/>
        <item x="65"/>
        <item x="27"/>
        <item x="364"/>
        <item x="165"/>
        <item x="77"/>
        <item x="155"/>
        <item x="469"/>
        <item x="251"/>
        <item x="476"/>
        <item x="76"/>
        <item x="307"/>
        <item x="163"/>
        <item x="212"/>
        <item x="377"/>
        <item x="122"/>
        <item x="466"/>
        <item x="170"/>
        <item x="64"/>
        <item x="472"/>
        <item x="114"/>
        <item x="273"/>
        <item x="479"/>
        <item x="484"/>
        <item x="56"/>
        <item x="290"/>
        <item x="471"/>
        <item x="328"/>
        <item x="443"/>
        <item x="177"/>
        <item x="300"/>
        <item x="194"/>
        <item x="223"/>
        <item x="248"/>
        <item x="444"/>
        <item x="176"/>
        <item x="324"/>
        <item x="137"/>
        <item x="230"/>
        <item x="280"/>
        <item x="229"/>
        <item x="80"/>
        <item x="323"/>
        <item x="6"/>
        <item x="341"/>
        <item x="422"/>
        <item x="266"/>
        <item x="399"/>
        <item x="278"/>
        <item x="412"/>
        <item x="374"/>
        <item x="7"/>
        <item x="459"/>
        <item x="410"/>
        <item x="113"/>
        <item x="81"/>
        <item x="275"/>
        <item x="381"/>
        <item x="380"/>
        <item x="204"/>
        <item x="347"/>
        <item x="211"/>
        <item x="363"/>
        <item x="67"/>
        <item x="430"/>
        <item x="480"/>
        <item x="321"/>
        <item x="78"/>
        <item x="338"/>
        <item x="438"/>
        <item x="218"/>
        <item x="313"/>
        <item x="297"/>
        <item x="311"/>
        <item x="293"/>
        <item x="109"/>
        <item x="362"/>
        <item x="202"/>
        <item x="62"/>
        <item x="10"/>
        <item x="398"/>
        <item x="18"/>
        <item x="205"/>
        <item x="101"/>
        <item x="288"/>
        <item x="116"/>
        <item x="405"/>
        <item x="243"/>
        <item x="26"/>
        <item x="33"/>
        <item x="346"/>
        <item x="257"/>
        <item x="74"/>
        <item x="298"/>
        <item x="440"/>
        <item x="40"/>
        <item x="365"/>
        <item x="316"/>
        <item x="207"/>
        <item x="335"/>
        <item x="281"/>
        <item x="270"/>
        <item x="73"/>
        <item x="441"/>
        <item x="160"/>
        <item x="15"/>
        <item x="75"/>
        <item x="376"/>
        <item x="473"/>
        <item x="72"/>
        <item x="415"/>
        <item x="9"/>
        <item x="315"/>
        <item x="299"/>
        <item x="136"/>
        <item x="369"/>
        <item x="186"/>
        <item x="272"/>
        <item x="343"/>
        <item x="236"/>
        <item x="360"/>
        <item x="94"/>
        <item x="312"/>
        <item x="182"/>
        <item x="420"/>
        <item x="385"/>
        <item x="11"/>
        <item x="8"/>
        <item x="446"/>
        <item x="123"/>
        <item x="485"/>
        <item x="45"/>
        <item x="462"/>
        <item x="199"/>
        <item x="57"/>
        <item x="265"/>
        <item x="2"/>
        <item x="184"/>
        <item x="359"/>
        <item x="357"/>
        <item x="486"/>
        <item x="222"/>
        <item x="188"/>
        <item x="423"/>
        <item x="141"/>
        <item x="474"/>
        <item x="391"/>
        <item x="20"/>
        <item x="309"/>
        <item x="345"/>
        <item x="105"/>
        <item x="51"/>
        <item x="174"/>
        <item x="162"/>
        <item x="121"/>
        <item x="403"/>
        <item x="451"/>
        <item x="166"/>
        <item x="138"/>
        <item x="349"/>
        <item x="1"/>
        <item x="330"/>
        <item x="107"/>
        <item x="87"/>
        <item x="450"/>
        <item x="379"/>
        <item x="149"/>
        <item x="447"/>
        <item x="304"/>
        <item x="396"/>
        <item x="71"/>
        <item x="477"/>
        <item x="36"/>
        <item x="413"/>
        <item x="350"/>
        <item x="482"/>
        <item x="86"/>
        <item x="5"/>
        <item x="433"/>
        <item x="4"/>
        <item x="344"/>
        <item x="256"/>
        <item x="382"/>
        <item x="127"/>
        <item x="460"/>
        <item x="274"/>
        <item x="34"/>
        <item x="432"/>
        <item x="209"/>
        <item x="285"/>
        <item x="417"/>
        <item x="445"/>
        <item x="50"/>
        <item x="0"/>
        <item x="342"/>
        <item x="168"/>
        <item x="296"/>
        <item x="246"/>
        <item x="262"/>
        <item x="183"/>
        <item x="356"/>
        <item x="97"/>
        <item x="339"/>
        <item x="196"/>
        <item x="282"/>
        <item x="384"/>
        <item x="22"/>
        <item x="271"/>
        <item x="245"/>
        <item x="394"/>
        <item x="234"/>
        <item x="111"/>
        <item x="108"/>
        <item x="325"/>
        <item x="193"/>
        <item x="14"/>
        <item x="320"/>
        <item x="463"/>
        <item x="85"/>
        <item x="260"/>
        <item x="406"/>
        <item x="128"/>
        <item x="284"/>
        <item x="42"/>
        <item x="390"/>
        <item x="238"/>
        <item x="91"/>
        <item x="453"/>
        <item x="220"/>
        <item x="231"/>
        <item x="289"/>
        <item x="267"/>
        <item x="331"/>
        <item x="28"/>
        <item x="37"/>
        <item x="159"/>
        <item x="239"/>
        <item x="32"/>
        <item x="178"/>
        <item x="206"/>
        <item x="261"/>
        <item x="439"/>
        <item x="17"/>
        <item x="191"/>
        <item x="322"/>
        <item x="84"/>
        <item x="13"/>
        <item x="483"/>
        <item x="69"/>
        <item x="233"/>
        <item x="276"/>
        <item x="52"/>
        <item x="426"/>
        <item x="61"/>
        <item x="16"/>
        <item x="411"/>
        <item x="401"/>
        <item x="429"/>
        <item x="179"/>
        <item x="395"/>
        <item x="189"/>
        <item t="default"/>
      </items>
    </pivotField>
    <pivotField numFmtId="1" showAll="0"/>
    <pivotField axis="axisRow" showAll="0">
      <items count="6">
        <item x="0"/>
        <item x="3"/>
        <item x="4"/>
        <item x="2"/>
        <item x="1"/>
        <item t="default"/>
      </items>
    </pivotField>
    <pivotField showAll="0">
      <items count="3">
        <item h="1" x="1"/>
        <item x="0"/>
        <item t="default"/>
      </items>
    </pivotField>
    <pivotField numFmtId="166" showAll="0"/>
    <pivotField dataField="1" showAll="0"/>
    <pivotField numFmtId="164" showAll="0"/>
    <pivotField showAll="0">
      <items count="4">
        <item x="2"/>
        <item x="0"/>
        <item x="1"/>
        <item t="default"/>
      </items>
    </pivotField>
    <pivotField showAll="0">
      <items count="4">
        <item x="1"/>
        <item x="0"/>
        <item x="2"/>
        <item t="default"/>
      </items>
    </pivotField>
  </pivotFields>
  <rowFields count="1">
    <field x="3"/>
  </rowFields>
  <rowItems count="6">
    <i>
      <x/>
    </i>
    <i>
      <x v="1"/>
    </i>
    <i>
      <x v="2"/>
    </i>
    <i>
      <x v="3"/>
    </i>
    <i>
      <x v="4"/>
    </i>
    <i t="grand">
      <x/>
    </i>
  </rowItems>
  <colItems count="1">
    <i/>
  </colItems>
  <dataFields count="1">
    <dataField name="Average of Experience" fld="6" subtotal="average" baseField="0" baseItem="0"/>
  </dataFields>
  <formats count="1">
    <format dxfId="81">
      <pivotArea collapsedLevelsAreSubtotals="1" fieldPosition="0">
        <references count="1">
          <reference field="3" count="0"/>
        </references>
      </pivotArea>
    </format>
  </formats>
  <chartFormats count="3">
    <chartFormat chart="24"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DB5FAB-7B8F-4A08-897F-6B31DC2AFB5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4:B26" firstHeaderRow="1" firstDataRow="1" firstDataCol="1"/>
  <pivotFields count="10">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488">
        <item x="103"/>
        <item x="448"/>
        <item x="112"/>
        <item x="366"/>
        <item x="95"/>
        <item x="129"/>
        <item x="200"/>
        <item x="104"/>
        <item x="302"/>
        <item x="169"/>
        <item x="144"/>
        <item x="126"/>
        <item x="131"/>
        <item x="340"/>
        <item x="213"/>
        <item x="44"/>
        <item x="48"/>
        <item x="286"/>
        <item x="226"/>
        <item x="305"/>
        <item x="418"/>
        <item x="151"/>
        <item x="452"/>
        <item x="455"/>
        <item x="38"/>
        <item x="409"/>
        <item x="456"/>
        <item x="475"/>
        <item x="367"/>
        <item x="215"/>
        <item x="295"/>
        <item x="310"/>
        <item x="142"/>
        <item x="292"/>
        <item x="59"/>
        <item x="225"/>
        <item x="397"/>
        <item x="98"/>
        <item x="361"/>
        <item x="154"/>
        <item x="465"/>
        <item x="427"/>
        <item x="134"/>
        <item x="250"/>
        <item x="146"/>
        <item x="117"/>
        <item x="201"/>
        <item x="158"/>
        <item x="125"/>
        <item x="326"/>
        <item x="333"/>
        <item x="457"/>
        <item x="352"/>
        <item x="237"/>
        <item x="46"/>
        <item x="291"/>
        <item x="421"/>
        <item x="190"/>
        <item x="470"/>
        <item x="255"/>
        <item x="386"/>
        <item x="157"/>
        <item x="317"/>
        <item x="259"/>
        <item x="442"/>
        <item x="147"/>
        <item x="195"/>
        <item x="478"/>
        <item x="334"/>
        <item x="167"/>
        <item x="63"/>
        <item x="371"/>
        <item x="301"/>
        <item x="161"/>
        <item x="139"/>
        <item x="336"/>
        <item x="354"/>
        <item x="253"/>
        <item x="24"/>
        <item x="306"/>
        <item x="263"/>
        <item x="132"/>
        <item x="119"/>
        <item x="375"/>
        <item x="55"/>
        <item x="143"/>
        <item x="368"/>
        <item x="221"/>
        <item x="308"/>
        <item x="434"/>
        <item x="454"/>
        <item x="414"/>
        <item x="416"/>
        <item x="217"/>
        <item x="219"/>
        <item x="228"/>
        <item x="3"/>
        <item x="148"/>
        <item x="47"/>
        <item x="54"/>
        <item x="372"/>
        <item x="393"/>
        <item x="210"/>
        <item x="208"/>
        <item x="82"/>
        <item x="192"/>
        <item x="329"/>
        <item x="387"/>
        <item x="370"/>
        <item x="197"/>
        <item x="198"/>
        <item x="25"/>
        <item x="337"/>
        <item x="171"/>
        <item x="88"/>
        <item x="53"/>
        <item x="303"/>
        <item x="264"/>
        <item x="68"/>
        <item x="235"/>
        <item x="419"/>
        <item x="392"/>
        <item x="100"/>
        <item x="214"/>
        <item x="436"/>
        <item x="41"/>
        <item x="153"/>
        <item x="90"/>
        <item x="130"/>
        <item x="106"/>
        <item x="435"/>
        <item x="240"/>
        <item x="355"/>
        <item x="252"/>
        <item x="287"/>
        <item x="70"/>
        <item x="318"/>
        <item x="30"/>
        <item x="461"/>
        <item x="428"/>
        <item x="140"/>
        <item x="319"/>
        <item x="79"/>
        <item x="468"/>
        <item x="29"/>
        <item x="247"/>
        <item x="279"/>
        <item x="175"/>
        <item x="31"/>
        <item x="43"/>
        <item x="408"/>
        <item x="115"/>
        <item x="164"/>
        <item x="124"/>
        <item x="481"/>
        <item x="21"/>
        <item x="39"/>
        <item x="249"/>
        <item x="150"/>
        <item x="35"/>
        <item x="173"/>
        <item x="99"/>
        <item x="268"/>
        <item x="389"/>
        <item x="327"/>
        <item x="467"/>
        <item x="180"/>
        <item x="227"/>
        <item x="89"/>
        <item x="172"/>
        <item x="224"/>
        <item x="348"/>
        <item x="187"/>
        <item x="19"/>
        <item x="49"/>
        <item x="294"/>
        <item x="203"/>
        <item x="152"/>
        <item x="12"/>
        <item x="92"/>
        <item x="351"/>
        <item x="96"/>
        <item x="404"/>
        <item x="464"/>
        <item x="358"/>
        <item x="378"/>
        <item x="388"/>
        <item x="133"/>
        <item x="400"/>
        <item x="277"/>
        <item x="424"/>
        <item x="407"/>
        <item x="269"/>
        <item x="118"/>
        <item x="258"/>
        <item x="373"/>
        <item x="244"/>
        <item x="23"/>
        <item x="458"/>
        <item x="83"/>
        <item x="156"/>
        <item x="66"/>
        <item x="60"/>
        <item x="437"/>
        <item x="241"/>
        <item x="135"/>
        <item x="353"/>
        <item x="232"/>
        <item x="102"/>
        <item x="383"/>
        <item x="185"/>
        <item x="283"/>
        <item x="425"/>
        <item x="181"/>
        <item x="431"/>
        <item x="58"/>
        <item x="332"/>
        <item x="120"/>
        <item x="449"/>
        <item x="145"/>
        <item x="242"/>
        <item x="402"/>
        <item x="314"/>
        <item x="93"/>
        <item x="254"/>
        <item x="110"/>
        <item x="216"/>
        <item x="65"/>
        <item x="27"/>
        <item x="364"/>
        <item x="165"/>
        <item x="77"/>
        <item x="155"/>
        <item x="469"/>
        <item x="251"/>
        <item x="476"/>
        <item x="76"/>
        <item x="307"/>
        <item x="163"/>
        <item x="212"/>
        <item x="377"/>
        <item x="122"/>
        <item x="466"/>
        <item x="170"/>
        <item x="64"/>
        <item x="472"/>
        <item x="114"/>
        <item x="273"/>
        <item x="479"/>
        <item x="484"/>
        <item x="56"/>
        <item x="290"/>
        <item x="471"/>
        <item x="328"/>
        <item x="443"/>
        <item x="177"/>
        <item x="300"/>
        <item x="194"/>
        <item x="223"/>
        <item x="248"/>
        <item x="444"/>
        <item x="176"/>
        <item x="324"/>
        <item x="137"/>
        <item x="230"/>
        <item x="280"/>
        <item x="229"/>
        <item x="80"/>
        <item x="323"/>
        <item x="6"/>
        <item x="341"/>
        <item x="422"/>
        <item x="266"/>
        <item x="399"/>
        <item x="278"/>
        <item x="412"/>
        <item x="374"/>
        <item x="7"/>
        <item x="459"/>
        <item x="410"/>
        <item x="113"/>
        <item x="81"/>
        <item x="275"/>
        <item x="381"/>
        <item x="380"/>
        <item x="204"/>
        <item x="347"/>
        <item x="211"/>
        <item x="363"/>
        <item x="67"/>
        <item x="430"/>
        <item x="480"/>
        <item x="321"/>
        <item x="78"/>
        <item x="338"/>
        <item x="438"/>
        <item x="218"/>
        <item x="313"/>
        <item x="297"/>
        <item x="311"/>
        <item x="293"/>
        <item x="109"/>
        <item x="362"/>
        <item x="202"/>
        <item x="62"/>
        <item x="10"/>
        <item x="398"/>
        <item x="18"/>
        <item x="205"/>
        <item x="101"/>
        <item x="288"/>
        <item x="116"/>
        <item x="405"/>
        <item x="243"/>
        <item x="26"/>
        <item x="33"/>
        <item x="346"/>
        <item x="257"/>
        <item x="74"/>
        <item x="298"/>
        <item x="440"/>
        <item x="40"/>
        <item x="365"/>
        <item x="316"/>
        <item x="207"/>
        <item x="335"/>
        <item x="281"/>
        <item x="270"/>
        <item x="73"/>
        <item x="441"/>
        <item x="160"/>
        <item x="15"/>
        <item x="75"/>
        <item x="376"/>
        <item x="473"/>
        <item x="72"/>
        <item x="415"/>
        <item x="9"/>
        <item x="315"/>
        <item x="299"/>
        <item x="136"/>
        <item x="369"/>
        <item x="186"/>
        <item x="272"/>
        <item x="343"/>
        <item x="236"/>
        <item x="360"/>
        <item x="94"/>
        <item x="312"/>
        <item x="182"/>
        <item x="420"/>
        <item x="385"/>
        <item x="11"/>
        <item x="8"/>
        <item x="446"/>
        <item x="123"/>
        <item x="485"/>
        <item x="45"/>
        <item x="462"/>
        <item x="199"/>
        <item x="57"/>
        <item x="265"/>
        <item x="2"/>
        <item x="184"/>
        <item x="359"/>
        <item x="357"/>
        <item x="486"/>
        <item x="222"/>
        <item x="188"/>
        <item x="423"/>
        <item x="141"/>
        <item x="474"/>
        <item x="391"/>
        <item x="20"/>
        <item x="309"/>
        <item x="345"/>
        <item x="105"/>
        <item x="51"/>
        <item x="174"/>
        <item x="162"/>
        <item x="121"/>
        <item x="403"/>
        <item x="451"/>
        <item x="166"/>
        <item x="138"/>
        <item x="349"/>
        <item x="1"/>
        <item x="330"/>
        <item x="107"/>
        <item x="87"/>
        <item x="450"/>
        <item x="379"/>
        <item x="149"/>
        <item x="447"/>
        <item x="304"/>
        <item x="396"/>
        <item x="71"/>
        <item x="477"/>
        <item x="36"/>
        <item x="413"/>
        <item x="350"/>
        <item x="482"/>
        <item x="86"/>
        <item x="5"/>
        <item x="433"/>
        <item x="4"/>
        <item x="344"/>
        <item x="256"/>
        <item x="382"/>
        <item x="127"/>
        <item x="460"/>
        <item x="274"/>
        <item x="34"/>
        <item x="432"/>
        <item x="209"/>
        <item x="285"/>
        <item x="417"/>
        <item x="445"/>
        <item x="50"/>
        <item x="0"/>
        <item x="342"/>
        <item x="168"/>
        <item x="296"/>
        <item x="246"/>
        <item x="262"/>
        <item x="183"/>
        <item x="356"/>
        <item x="97"/>
        <item x="339"/>
        <item x="196"/>
        <item x="282"/>
        <item x="384"/>
        <item x="22"/>
        <item x="271"/>
        <item x="245"/>
        <item x="394"/>
        <item x="234"/>
        <item x="111"/>
        <item x="108"/>
        <item x="325"/>
        <item x="193"/>
        <item x="14"/>
        <item x="320"/>
        <item x="463"/>
        <item x="85"/>
        <item x="260"/>
        <item x="406"/>
        <item x="128"/>
        <item x="284"/>
        <item x="42"/>
        <item x="390"/>
        <item x="238"/>
        <item x="91"/>
        <item x="453"/>
        <item x="220"/>
        <item x="231"/>
        <item x="289"/>
        <item x="267"/>
        <item x="331"/>
        <item x="28"/>
        <item x="37"/>
        <item x="159"/>
        <item x="239"/>
        <item x="32"/>
        <item x="178"/>
        <item x="206"/>
        <item x="261"/>
        <item x="439"/>
        <item x="17"/>
        <item x="191"/>
        <item x="322"/>
        <item x="84"/>
        <item x="13"/>
        <item x="483"/>
        <item x="69"/>
        <item x="233"/>
        <item x="276"/>
        <item x="52"/>
        <item x="426"/>
        <item x="61"/>
        <item x="16"/>
        <item x="411"/>
        <item x="401"/>
        <item x="429"/>
        <item x="179"/>
        <item x="395"/>
        <item x="189"/>
        <item t="default"/>
      </items>
    </pivotField>
    <pivotField numFmtId="1" showAll="0"/>
    <pivotField showAll="0">
      <items count="6">
        <item x="0"/>
        <item x="3"/>
        <item x="4"/>
        <item x="2"/>
        <item x="1"/>
        <item t="default"/>
      </items>
    </pivotField>
    <pivotField axis="axisRow" showAll="0">
      <items count="3">
        <item h="1" x="1"/>
        <item x="0"/>
        <item t="default"/>
      </items>
    </pivotField>
    <pivotField numFmtId="166" showAll="0"/>
    <pivotField showAll="0"/>
    <pivotField numFmtId="164" showAll="0"/>
    <pivotField showAll="0">
      <items count="4">
        <item x="2"/>
        <item x="0"/>
        <item x="1"/>
        <item t="default"/>
      </items>
    </pivotField>
    <pivotField showAll="0">
      <items count="4">
        <item x="1"/>
        <item x="0"/>
        <item x="2"/>
        <item t="default"/>
      </items>
    </pivotField>
  </pivotFields>
  <rowFields count="1">
    <field x="4"/>
  </rowFields>
  <rowItems count="2">
    <i>
      <x v="1"/>
    </i>
    <i t="grand">
      <x/>
    </i>
  </rowItems>
  <colItems count="1">
    <i/>
  </colItems>
  <dataFields count="1">
    <dataField name="Count of Index" fld="0" subtotal="count"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0">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488">
        <item x="103"/>
        <item x="448"/>
        <item x="112"/>
        <item x="366"/>
        <item x="95"/>
        <item x="129"/>
        <item x="200"/>
        <item x="104"/>
        <item x="302"/>
        <item x="169"/>
        <item x="144"/>
        <item x="126"/>
        <item x="131"/>
        <item x="340"/>
        <item x="213"/>
        <item x="44"/>
        <item x="48"/>
        <item x="286"/>
        <item x="226"/>
        <item x="305"/>
        <item x="418"/>
        <item x="151"/>
        <item x="452"/>
        <item x="455"/>
        <item x="38"/>
        <item x="409"/>
        <item x="456"/>
        <item x="475"/>
        <item x="367"/>
        <item x="215"/>
        <item x="295"/>
        <item x="310"/>
        <item x="142"/>
        <item x="292"/>
        <item x="59"/>
        <item x="225"/>
        <item x="397"/>
        <item x="98"/>
        <item x="361"/>
        <item x="154"/>
        <item x="465"/>
        <item x="427"/>
        <item x="134"/>
        <item x="250"/>
        <item x="146"/>
        <item x="117"/>
        <item x="201"/>
        <item x="158"/>
        <item x="125"/>
        <item x="326"/>
        <item x="333"/>
        <item x="457"/>
        <item x="352"/>
        <item x="237"/>
        <item x="46"/>
        <item x="291"/>
        <item x="421"/>
        <item x="190"/>
        <item x="470"/>
        <item x="255"/>
        <item x="386"/>
        <item x="157"/>
        <item x="317"/>
        <item x="259"/>
        <item x="442"/>
        <item x="147"/>
        <item x="195"/>
        <item x="478"/>
        <item x="334"/>
        <item x="167"/>
        <item x="63"/>
        <item x="371"/>
        <item x="301"/>
        <item x="161"/>
        <item x="139"/>
        <item x="336"/>
        <item x="354"/>
        <item x="253"/>
        <item x="24"/>
        <item x="306"/>
        <item x="263"/>
        <item x="132"/>
        <item x="119"/>
        <item x="375"/>
        <item x="55"/>
        <item x="143"/>
        <item x="368"/>
        <item x="221"/>
        <item x="308"/>
        <item x="434"/>
        <item x="454"/>
        <item x="414"/>
        <item x="416"/>
        <item x="217"/>
        <item x="219"/>
        <item x="228"/>
        <item x="3"/>
        <item x="148"/>
        <item x="47"/>
        <item x="54"/>
        <item x="372"/>
        <item x="393"/>
        <item x="210"/>
        <item x="208"/>
        <item x="82"/>
        <item x="192"/>
        <item x="329"/>
        <item x="387"/>
        <item x="370"/>
        <item x="197"/>
        <item x="198"/>
        <item x="25"/>
        <item x="337"/>
        <item x="171"/>
        <item x="88"/>
        <item x="53"/>
        <item x="303"/>
        <item x="264"/>
        <item x="68"/>
        <item x="235"/>
        <item x="419"/>
        <item x="392"/>
        <item x="100"/>
        <item x="214"/>
        <item x="436"/>
        <item x="41"/>
        <item x="153"/>
        <item x="90"/>
        <item x="130"/>
        <item x="106"/>
        <item x="435"/>
        <item x="240"/>
        <item x="355"/>
        <item x="252"/>
        <item x="287"/>
        <item x="70"/>
        <item x="318"/>
        <item x="30"/>
        <item x="461"/>
        <item x="428"/>
        <item x="140"/>
        <item x="319"/>
        <item x="79"/>
        <item x="468"/>
        <item x="29"/>
        <item x="247"/>
        <item x="279"/>
        <item x="175"/>
        <item x="31"/>
        <item x="43"/>
        <item x="408"/>
        <item x="115"/>
        <item x="164"/>
        <item x="124"/>
        <item x="481"/>
        <item x="21"/>
        <item x="39"/>
        <item x="249"/>
        <item x="150"/>
        <item x="35"/>
        <item x="173"/>
        <item x="99"/>
        <item x="268"/>
        <item x="389"/>
        <item x="327"/>
        <item x="467"/>
        <item x="180"/>
        <item x="227"/>
        <item x="89"/>
        <item x="172"/>
        <item x="224"/>
        <item x="348"/>
        <item x="187"/>
        <item x="19"/>
        <item x="49"/>
        <item x="294"/>
        <item x="203"/>
        <item x="152"/>
        <item x="12"/>
        <item x="92"/>
        <item x="351"/>
        <item x="96"/>
        <item x="404"/>
        <item x="464"/>
        <item x="358"/>
        <item x="378"/>
        <item x="388"/>
        <item x="133"/>
        <item x="400"/>
        <item x="277"/>
        <item x="424"/>
        <item x="407"/>
        <item x="269"/>
        <item x="118"/>
        <item x="258"/>
        <item x="373"/>
        <item x="244"/>
        <item x="23"/>
        <item x="458"/>
        <item x="83"/>
        <item x="156"/>
        <item x="66"/>
        <item x="60"/>
        <item x="437"/>
        <item x="241"/>
        <item x="135"/>
        <item x="353"/>
        <item x="232"/>
        <item x="102"/>
        <item x="383"/>
        <item x="185"/>
        <item x="283"/>
        <item x="425"/>
        <item x="181"/>
        <item x="431"/>
        <item x="58"/>
        <item x="332"/>
        <item x="120"/>
        <item x="449"/>
        <item x="145"/>
        <item x="242"/>
        <item x="402"/>
        <item x="314"/>
        <item x="93"/>
        <item x="254"/>
        <item x="110"/>
        <item x="216"/>
        <item x="65"/>
        <item x="27"/>
        <item x="364"/>
        <item x="165"/>
        <item x="77"/>
        <item x="155"/>
        <item x="469"/>
        <item x="251"/>
        <item x="476"/>
        <item x="76"/>
        <item x="307"/>
        <item x="163"/>
        <item x="212"/>
        <item x="377"/>
        <item x="122"/>
        <item x="466"/>
        <item x="170"/>
        <item x="64"/>
        <item x="472"/>
        <item x="114"/>
        <item x="273"/>
        <item x="479"/>
        <item x="484"/>
        <item x="56"/>
        <item x="290"/>
        <item x="471"/>
        <item x="328"/>
        <item x="443"/>
        <item x="177"/>
        <item x="300"/>
        <item x="194"/>
        <item x="223"/>
        <item x="248"/>
        <item x="444"/>
        <item x="176"/>
        <item x="324"/>
        <item x="137"/>
        <item x="230"/>
        <item x="280"/>
        <item x="229"/>
        <item x="80"/>
        <item x="323"/>
        <item x="6"/>
        <item x="341"/>
        <item x="422"/>
        <item x="266"/>
        <item x="399"/>
        <item x="278"/>
        <item x="412"/>
        <item x="374"/>
        <item x="7"/>
        <item x="459"/>
        <item x="410"/>
        <item x="113"/>
        <item x="81"/>
        <item x="275"/>
        <item x="381"/>
        <item x="380"/>
        <item x="204"/>
        <item x="347"/>
        <item x="211"/>
        <item x="363"/>
        <item x="67"/>
        <item x="430"/>
        <item x="480"/>
        <item x="321"/>
        <item x="78"/>
        <item x="338"/>
        <item x="438"/>
        <item x="218"/>
        <item x="313"/>
        <item x="297"/>
        <item x="311"/>
        <item x="293"/>
        <item x="109"/>
        <item x="362"/>
        <item x="202"/>
        <item x="62"/>
        <item x="10"/>
        <item x="398"/>
        <item x="18"/>
        <item x="205"/>
        <item x="101"/>
        <item x="288"/>
        <item x="116"/>
        <item x="405"/>
        <item x="243"/>
        <item x="26"/>
        <item x="33"/>
        <item x="346"/>
        <item x="257"/>
        <item x="74"/>
        <item x="298"/>
        <item x="440"/>
        <item x="40"/>
        <item x="365"/>
        <item x="316"/>
        <item x="207"/>
        <item x="335"/>
        <item x="281"/>
        <item x="270"/>
        <item x="73"/>
        <item x="441"/>
        <item x="160"/>
        <item x="15"/>
        <item x="75"/>
        <item x="376"/>
        <item x="473"/>
        <item x="72"/>
        <item x="415"/>
        <item x="9"/>
        <item x="315"/>
        <item x="299"/>
        <item x="136"/>
        <item x="369"/>
        <item x="186"/>
        <item x="272"/>
        <item x="343"/>
        <item x="236"/>
        <item x="360"/>
        <item x="94"/>
        <item x="312"/>
        <item x="182"/>
        <item x="420"/>
        <item x="385"/>
        <item x="11"/>
        <item x="8"/>
        <item x="446"/>
        <item x="123"/>
        <item x="485"/>
        <item x="45"/>
        <item x="462"/>
        <item x="199"/>
        <item x="57"/>
        <item x="265"/>
        <item x="2"/>
        <item x="184"/>
        <item x="359"/>
        <item x="357"/>
        <item x="486"/>
        <item x="222"/>
        <item x="188"/>
        <item x="423"/>
        <item x="141"/>
        <item x="474"/>
        <item x="391"/>
        <item x="20"/>
        <item x="309"/>
        <item x="345"/>
        <item x="105"/>
        <item x="51"/>
        <item x="174"/>
        <item x="162"/>
        <item x="121"/>
        <item x="403"/>
        <item x="451"/>
        <item x="166"/>
        <item x="138"/>
        <item x="349"/>
        <item x="1"/>
        <item x="330"/>
        <item x="107"/>
        <item x="87"/>
        <item x="450"/>
        <item x="379"/>
        <item x="149"/>
        <item x="447"/>
        <item x="304"/>
        <item x="396"/>
        <item x="71"/>
        <item x="477"/>
        <item x="36"/>
        <item x="413"/>
        <item x="350"/>
        <item x="482"/>
        <item x="86"/>
        <item x="5"/>
        <item x="433"/>
        <item x="4"/>
        <item x="344"/>
        <item x="256"/>
        <item x="382"/>
        <item x="127"/>
        <item x="460"/>
        <item x="274"/>
        <item x="34"/>
        <item x="432"/>
        <item x="209"/>
        <item x="285"/>
        <item x="417"/>
        <item x="445"/>
        <item x="50"/>
        <item x="0"/>
        <item x="342"/>
        <item x="168"/>
        <item x="296"/>
        <item x="246"/>
        <item x="262"/>
        <item x="183"/>
        <item x="356"/>
        <item x="97"/>
        <item x="339"/>
        <item x="196"/>
        <item x="282"/>
        <item x="384"/>
        <item x="22"/>
        <item x="271"/>
        <item x="245"/>
        <item x="394"/>
        <item x="234"/>
        <item x="111"/>
        <item x="108"/>
        <item x="325"/>
        <item x="193"/>
        <item x="14"/>
        <item x="320"/>
        <item x="463"/>
        <item x="85"/>
        <item x="260"/>
        <item x="406"/>
        <item x="128"/>
        <item x="284"/>
        <item x="42"/>
        <item x="390"/>
        <item x="238"/>
        <item x="91"/>
        <item x="453"/>
        <item x="220"/>
        <item x="231"/>
        <item x="289"/>
        <item x="267"/>
        <item x="331"/>
        <item x="28"/>
        <item x="37"/>
        <item x="159"/>
        <item x="239"/>
        <item x="32"/>
        <item x="178"/>
        <item x="206"/>
        <item x="261"/>
        <item x="439"/>
        <item x="17"/>
        <item x="191"/>
        <item x="322"/>
        <item x="84"/>
        <item x="13"/>
        <item x="483"/>
        <item x="69"/>
        <item x="233"/>
        <item x="276"/>
        <item x="52"/>
        <item x="426"/>
        <item x="61"/>
        <item x="16"/>
        <item x="411"/>
        <item x="401"/>
        <item x="429"/>
        <item x="179"/>
        <item x="395"/>
        <item x="189"/>
        <item t="default"/>
      </items>
    </pivotField>
    <pivotField numFmtId="1" showAll="0"/>
    <pivotField axis="axisRow" showAll="0">
      <items count="6">
        <item x="0"/>
        <item x="3"/>
        <item x="4"/>
        <item x="2"/>
        <item x="1"/>
        <item t="default"/>
      </items>
    </pivotField>
    <pivotField showAll="0">
      <items count="3">
        <item h="1" x="1"/>
        <item x="0"/>
        <item t="default"/>
      </items>
    </pivotField>
    <pivotField numFmtId="166" showAll="0"/>
    <pivotField showAll="0"/>
    <pivotField numFmtId="164" showAll="0"/>
    <pivotField showAll="0">
      <items count="4">
        <item x="2"/>
        <item x="0"/>
        <item x="1"/>
        <item t="default"/>
      </items>
    </pivotField>
    <pivotField showAll="0">
      <items count="4">
        <item x="1"/>
        <item x="0"/>
        <item x="2"/>
        <item t="default"/>
      </items>
    </pivotField>
  </pivotFields>
  <rowFields count="1">
    <field x="3"/>
  </rowFields>
  <rowItems count="6">
    <i>
      <x/>
    </i>
    <i>
      <x v="1"/>
    </i>
    <i>
      <x v="2"/>
    </i>
    <i>
      <x v="3"/>
    </i>
    <i>
      <x v="4"/>
    </i>
    <i t="grand">
      <x/>
    </i>
  </rowItems>
  <colItems count="1">
    <i/>
  </colItems>
  <dataFields count="1">
    <dataField name="Count of Index" fld="0" subtotal="count" baseField="0" baseItem="0"/>
  </dataFields>
  <chartFormats count="1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2">
          <reference field="4294967294" count="1" selected="0">
            <x v="0"/>
          </reference>
          <reference field="3" count="1" selected="0">
            <x v="1"/>
          </reference>
        </references>
      </pivotArea>
    </chartFormat>
    <chartFormat chart="2" format="4" series="1">
      <pivotArea type="data" outline="0" fieldPosition="0">
        <references count="2">
          <reference field="4294967294" count="1" selected="0">
            <x v="0"/>
          </reference>
          <reference field="3" count="1" selected="0">
            <x v="2"/>
          </reference>
        </references>
      </pivotArea>
    </chartFormat>
    <chartFormat chart="2" format="5" series="1">
      <pivotArea type="data" outline="0" fieldPosition="0">
        <references count="2">
          <reference field="4294967294" count="1" selected="0">
            <x v="0"/>
          </reference>
          <reference field="3" count="1" selected="0">
            <x v="3"/>
          </reference>
        </references>
      </pivotArea>
    </chartFormat>
    <chartFormat chart="2" format="6" series="1">
      <pivotArea type="data" outline="0" fieldPosition="0">
        <references count="2">
          <reference field="4294967294" count="1" selected="0">
            <x v="0"/>
          </reference>
          <reference field="3" count="1" selected="0">
            <x v="4"/>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2" format="7" series="1">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0"/>
          </reference>
        </references>
      </pivotArea>
    </chartFormat>
    <chartFormat chart="2" format="9">
      <pivotArea type="data" outline="0" fieldPosition="0">
        <references count="2">
          <reference field="4294967294" count="1" selected="0">
            <x v="0"/>
          </reference>
          <reference field="3" count="1" selected="0">
            <x v="1"/>
          </reference>
        </references>
      </pivotArea>
    </chartFormat>
    <chartFormat chart="2" format="10">
      <pivotArea type="data" outline="0" fieldPosition="0">
        <references count="2">
          <reference field="4294967294" count="1" selected="0">
            <x v="0"/>
          </reference>
          <reference field="3" count="1" selected="0">
            <x v="2"/>
          </reference>
        </references>
      </pivotArea>
    </chartFormat>
    <chartFormat chart="2" format="11">
      <pivotArea type="data" outline="0" fieldPosition="0">
        <references count="2">
          <reference field="4294967294" count="1" selected="0">
            <x v="0"/>
          </reference>
          <reference field="3" count="1" selected="0">
            <x v="3"/>
          </reference>
        </references>
      </pivotArea>
    </chartFormat>
    <chartFormat chart="2"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2CE314-EBA9-481F-A266-3F9664858D3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
  <location ref="A32:B38" firstHeaderRow="1" firstDataRow="1" firstDataCol="1"/>
  <pivotFields count="10">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488">
        <item x="103"/>
        <item x="448"/>
        <item x="112"/>
        <item x="366"/>
        <item x="95"/>
        <item x="129"/>
        <item x="200"/>
        <item x="104"/>
        <item x="302"/>
        <item x="169"/>
        <item x="144"/>
        <item x="126"/>
        <item x="131"/>
        <item x="340"/>
        <item x="213"/>
        <item x="44"/>
        <item x="48"/>
        <item x="286"/>
        <item x="226"/>
        <item x="305"/>
        <item x="418"/>
        <item x="151"/>
        <item x="452"/>
        <item x="455"/>
        <item x="38"/>
        <item x="409"/>
        <item x="456"/>
        <item x="475"/>
        <item x="367"/>
        <item x="215"/>
        <item x="295"/>
        <item x="310"/>
        <item x="142"/>
        <item x="292"/>
        <item x="59"/>
        <item x="225"/>
        <item x="397"/>
        <item x="98"/>
        <item x="361"/>
        <item x="154"/>
        <item x="465"/>
        <item x="427"/>
        <item x="134"/>
        <item x="250"/>
        <item x="146"/>
        <item x="117"/>
        <item x="201"/>
        <item x="158"/>
        <item x="125"/>
        <item x="326"/>
        <item x="333"/>
        <item x="457"/>
        <item x="352"/>
        <item x="237"/>
        <item x="46"/>
        <item x="291"/>
        <item x="421"/>
        <item x="190"/>
        <item x="470"/>
        <item x="255"/>
        <item x="386"/>
        <item x="157"/>
        <item x="317"/>
        <item x="259"/>
        <item x="442"/>
        <item x="147"/>
        <item x="195"/>
        <item x="478"/>
        <item x="334"/>
        <item x="167"/>
        <item x="63"/>
        <item x="371"/>
        <item x="301"/>
        <item x="161"/>
        <item x="139"/>
        <item x="336"/>
        <item x="354"/>
        <item x="253"/>
        <item x="24"/>
        <item x="306"/>
        <item x="263"/>
        <item x="132"/>
        <item x="119"/>
        <item x="375"/>
        <item x="55"/>
        <item x="143"/>
        <item x="368"/>
        <item x="221"/>
        <item x="308"/>
        <item x="434"/>
        <item x="454"/>
        <item x="414"/>
        <item x="416"/>
        <item x="217"/>
        <item x="219"/>
        <item x="228"/>
        <item x="3"/>
        <item x="148"/>
        <item x="47"/>
        <item x="54"/>
        <item x="372"/>
        <item x="393"/>
        <item x="210"/>
        <item x="208"/>
        <item x="82"/>
        <item x="192"/>
        <item x="329"/>
        <item x="387"/>
        <item x="370"/>
        <item x="197"/>
        <item x="198"/>
        <item x="25"/>
        <item x="337"/>
        <item x="171"/>
        <item x="88"/>
        <item x="53"/>
        <item x="303"/>
        <item x="264"/>
        <item x="68"/>
        <item x="235"/>
        <item x="419"/>
        <item x="392"/>
        <item x="100"/>
        <item x="214"/>
        <item x="436"/>
        <item x="41"/>
        <item x="153"/>
        <item x="90"/>
        <item x="130"/>
        <item x="106"/>
        <item x="435"/>
        <item x="240"/>
        <item x="355"/>
        <item x="252"/>
        <item x="287"/>
        <item x="70"/>
        <item x="318"/>
        <item x="30"/>
        <item x="461"/>
        <item x="428"/>
        <item x="140"/>
        <item x="319"/>
        <item x="79"/>
        <item x="468"/>
        <item x="29"/>
        <item x="247"/>
        <item x="279"/>
        <item x="175"/>
        <item x="31"/>
        <item x="43"/>
        <item x="408"/>
        <item x="115"/>
        <item x="164"/>
        <item x="124"/>
        <item x="481"/>
        <item x="21"/>
        <item x="39"/>
        <item x="249"/>
        <item x="150"/>
        <item x="35"/>
        <item x="173"/>
        <item x="99"/>
        <item x="268"/>
        <item x="389"/>
        <item x="327"/>
        <item x="467"/>
        <item x="180"/>
        <item x="227"/>
        <item x="89"/>
        <item x="172"/>
        <item x="224"/>
        <item x="348"/>
        <item x="187"/>
        <item x="19"/>
        <item x="49"/>
        <item x="294"/>
        <item x="203"/>
        <item x="152"/>
        <item x="12"/>
        <item x="92"/>
        <item x="351"/>
        <item x="96"/>
        <item x="404"/>
        <item x="464"/>
        <item x="358"/>
        <item x="378"/>
        <item x="388"/>
        <item x="133"/>
        <item x="400"/>
        <item x="277"/>
        <item x="424"/>
        <item x="407"/>
        <item x="269"/>
        <item x="118"/>
        <item x="258"/>
        <item x="373"/>
        <item x="244"/>
        <item x="23"/>
        <item x="458"/>
        <item x="83"/>
        <item x="156"/>
        <item x="66"/>
        <item x="60"/>
        <item x="437"/>
        <item x="241"/>
        <item x="135"/>
        <item x="353"/>
        <item x="232"/>
        <item x="102"/>
        <item x="383"/>
        <item x="185"/>
        <item x="283"/>
        <item x="425"/>
        <item x="181"/>
        <item x="431"/>
        <item x="58"/>
        <item x="332"/>
        <item x="120"/>
        <item x="449"/>
        <item x="145"/>
        <item x="242"/>
        <item x="402"/>
        <item x="314"/>
        <item x="93"/>
        <item x="254"/>
        <item x="110"/>
        <item x="216"/>
        <item x="65"/>
        <item x="27"/>
        <item x="364"/>
        <item x="165"/>
        <item x="77"/>
        <item x="155"/>
        <item x="469"/>
        <item x="251"/>
        <item x="476"/>
        <item x="76"/>
        <item x="307"/>
        <item x="163"/>
        <item x="212"/>
        <item x="377"/>
        <item x="122"/>
        <item x="466"/>
        <item x="170"/>
        <item x="64"/>
        <item x="472"/>
        <item x="114"/>
        <item x="273"/>
        <item x="479"/>
        <item x="484"/>
        <item x="56"/>
        <item x="290"/>
        <item x="471"/>
        <item x="328"/>
        <item x="443"/>
        <item x="177"/>
        <item x="300"/>
        <item x="194"/>
        <item x="223"/>
        <item x="248"/>
        <item x="444"/>
        <item x="176"/>
        <item x="324"/>
        <item x="137"/>
        <item x="230"/>
        <item x="280"/>
        <item x="229"/>
        <item x="80"/>
        <item x="323"/>
        <item x="6"/>
        <item x="341"/>
        <item x="422"/>
        <item x="266"/>
        <item x="399"/>
        <item x="278"/>
        <item x="412"/>
        <item x="374"/>
        <item x="7"/>
        <item x="459"/>
        <item x="410"/>
        <item x="113"/>
        <item x="81"/>
        <item x="275"/>
        <item x="381"/>
        <item x="380"/>
        <item x="204"/>
        <item x="347"/>
        <item x="211"/>
        <item x="363"/>
        <item x="67"/>
        <item x="430"/>
        <item x="480"/>
        <item x="321"/>
        <item x="78"/>
        <item x="338"/>
        <item x="438"/>
        <item x="218"/>
        <item x="313"/>
        <item x="297"/>
        <item x="311"/>
        <item x="293"/>
        <item x="109"/>
        <item x="362"/>
        <item x="202"/>
        <item x="62"/>
        <item x="10"/>
        <item x="398"/>
        <item x="18"/>
        <item x="205"/>
        <item x="101"/>
        <item x="288"/>
        <item x="116"/>
        <item x="405"/>
        <item x="243"/>
        <item x="26"/>
        <item x="33"/>
        <item x="346"/>
        <item x="257"/>
        <item x="74"/>
        <item x="298"/>
        <item x="440"/>
        <item x="40"/>
        <item x="365"/>
        <item x="316"/>
        <item x="207"/>
        <item x="335"/>
        <item x="281"/>
        <item x="270"/>
        <item x="73"/>
        <item x="441"/>
        <item x="160"/>
        <item x="15"/>
        <item x="75"/>
        <item x="376"/>
        <item x="473"/>
        <item x="72"/>
        <item x="415"/>
        <item x="9"/>
        <item x="315"/>
        <item x="299"/>
        <item x="136"/>
        <item x="369"/>
        <item x="186"/>
        <item x="272"/>
        <item x="343"/>
        <item x="236"/>
        <item x="360"/>
        <item x="94"/>
        <item x="312"/>
        <item x="182"/>
        <item x="420"/>
        <item x="385"/>
        <item x="11"/>
        <item x="8"/>
        <item x="446"/>
        <item x="123"/>
        <item x="485"/>
        <item x="45"/>
        <item x="462"/>
        <item x="199"/>
        <item x="57"/>
        <item x="265"/>
        <item x="2"/>
        <item x="184"/>
        <item x="359"/>
        <item x="357"/>
        <item x="486"/>
        <item x="222"/>
        <item x="188"/>
        <item x="423"/>
        <item x="141"/>
        <item x="474"/>
        <item x="391"/>
        <item x="20"/>
        <item x="309"/>
        <item x="345"/>
        <item x="105"/>
        <item x="51"/>
        <item x="174"/>
        <item x="162"/>
        <item x="121"/>
        <item x="403"/>
        <item x="451"/>
        <item x="166"/>
        <item x="138"/>
        <item x="349"/>
        <item x="1"/>
        <item x="330"/>
        <item x="107"/>
        <item x="87"/>
        <item x="450"/>
        <item x="379"/>
        <item x="149"/>
        <item x="447"/>
        <item x="304"/>
        <item x="396"/>
        <item x="71"/>
        <item x="477"/>
        <item x="36"/>
        <item x="413"/>
        <item x="350"/>
        <item x="482"/>
        <item x="86"/>
        <item x="5"/>
        <item x="433"/>
        <item x="4"/>
        <item x="344"/>
        <item x="256"/>
        <item x="382"/>
        <item x="127"/>
        <item x="460"/>
        <item x="274"/>
        <item x="34"/>
        <item x="432"/>
        <item x="209"/>
        <item x="285"/>
        <item x="417"/>
        <item x="445"/>
        <item x="50"/>
        <item x="0"/>
        <item x="342"/>
        <item x="168"/>
        <item x="296"/>
        <item x="246"/>
        <item x="262"/>
        <item x="183"/>
        <item x="356"/>
        <item x="97"/>
        <item x="339"/>
        <item x="196"/>
        <item x="282"/>
        <item x="384"/>
        <item x="22"/>
        <item x="271"/>
        <item x="245"/>
        <item x="394"/>
        <item x="234"/>
        <item x="111"/>
        <item x="108"/>
        <item x="325"/>
        <item x="193"/>
        <item x="14"/>
        <item x="320"/>
        <item x="463"/>
        <item x="85"/>
        <item x="260"/>
        <item x="406"/>
        <item x="128"/>
        <item x="284"/>
        <item x="42"/>
        <item x="390"/>
        <item x="238"/>
        <item x="91"/>
        <item x="453"/>
        <item x="220"/>
        <item x="231"/>
        <item x="289"/>
        <item x="267"/>
        <item x="331"/>
        <item x="28"/>
        <item x="37"/>
        <item x="159"/>
        <item x="239"/>
        <item x="32"/>
        <item x="178"/>
        <item x="206"/>
        <item x="261"/>
        <item x="439"/>
        <item x="17"/>
        <item x="191"/>
        <item x="322"/>
        <item x="84"/>
        <item x="13"/>
        <item x="483"/>
        <item x="69"/>
        <item x="233"/>
        <item x="276"/>
        <item x="52"/>
        <item x="426"/>
        <item x="61"/>
        <item x="16"/>
        <item x="411"/>
        <item x="401"/>
        <item x="429"/>
        <item x="179"/>
        <item x="395"/>
        <item x="189"/>
        <item t="default"/>
      </items>
    </pivotField>
    <pivotField numFmtId="1" showAll="0"/>
    <pivotField axis="axisRow" showAll="0">
      <items count="6">
        <item x="0"/>
        <item x="3"/>
        <item x="4"/>
        <item x="2"/>
        <item x="1"/>
        <item t="default"/>
      </items>
    </pivotField>
    <pivotField showAll="0">
      <items count="3">
        <item h="1" x="1"/>
        <item x="0"/>
        <item t="default"/>
      </items>
    </pivotField>
    <pivotField numFmtId="166" showAll="0"/>
    <pivotField showAll="0"/>
    <pivotField dataField="1" numFmtId="164" showAll="0"/>
    <pivotField showAll="0">
      <items count="4">
        <item x="2"/>
        <item x="0"/>
        <item x="1"/>
        <item t="default"/>
      </items>
    </pivotField>
    <pivotField showAll="0">
      <items count="4">
        <item x="1"/>
        <item x="0"/>
        <item x="2"/>
        <item t="default"/>
      </items>
    </pivotField>
  </pivotFields>
  <rowFields count="1">
    <field x="3"/>
  </rowFields>
  <rowItems count="6">
    <i>
      <x/>
    </i>
    <i>
      <x v="1"/>
    </i>
    <i>
      <x v="2"/>
    </i>
    <i>
      <x v="3"/>
    </i>
    <i>
      <x v="4"/>
    </i>
    <i t="grand">
      <x/>
    </i>
  </rowItems>
  <colItems count="1">
    <i/>
  </colItems>
  <dataFields count="1">
    <dataField name="Average of Salary" fld="7" subtotal="average" baseField="0" baseItem="0"/>
  </dataFields>
  <chartFormats count="18">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3" count="1" selected="0">
            <x v="0"/>
          </reference>
        </references>
      </pivotArea>
    </chartFormat>
    <chartFormat chart="8" format="3">
      <pivotArea type="data" outline="0" fieldPosition="0">
        <references count="2">
          <reference field="4294967294" count="1" selected="0">
            <x v="0"/>
          </reference>
          <reference field="3" count="1" selected="0">
            <x v="1"/>
          </reference>
        </references>
      </pivotArea>
    </chartFormat>
    <chartFormat chart="8" format="4">
      <pivotArea type="data" outline="0" fieldPosition="0">
        <references count="2">
          <reference field="4294967294" count="1" selected="0">
            <x v="0"/>
          </reference>
          <reference field="3" count="1" selected="0">
            <x v="2"/>
          </reference>
        </references>
      </pivotArea>
    </chartFormat>
    <chartFormat chart="8" format="5">
      <pivotArea type="data" outline="0" fieldPosition="0">
        <references count="2">
          <reference field="4294967294" count="1" selected="0">
            <x v="0"/>
          </reference>
          <reference field="3" count="1" selected="0">
            <x v="3"/>
          </reference>
        </references>
      </pivotArea>
    </chartFormat>
    <chartFormat chart="8" format="6">
      <pivotArea type="data" outline="0" fieldPosition="0">
        <references count="2">
          <reference field="4294967294" count="1" selected="0">
            <x v="0"/>
          </reference>
          <reference field="3" count="1" selected="0">
            <x v="4"/>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3" count="1" selected="0">
            <x v="0"/>
          </reference>
        </references>
      </pivotArea>
    </chartFormat>
    <chartFormat chart="9" format="9">
      <pivotArea type="data" outline="0" fieldPosition="0">
        <references count="2">
          <reference field="4294967294" count="1" selected="0">
            <x v="0"/>
          </reference>
          <reference field="3" count="1" selected="0">
            <x v="1"/>
          </reference>
        </references>
      </pivotArea>
    </chartFormat>
    <chartFormat chart="9" format="10">
      <pivotArea type="data" outline="0" fieldPosition="0">
        <references count="2">
          <reference field="4294967294" count="1" selected="0">
            <x v="0"/>
          </reference>
          <reference field="3" count="1" selected="0">
            <x v="2"/>
          </reference>
        </references>
      </pivotArea>
    </chartFormat>
    <chartFormat chart="9" format="11">
      <pivotArea type="data" outline="0" fieldPosition="0">
        <references count="2">
          <reference field="4294967294" count="1" selected="0">
            <x v="0"/>
          </reference>
          <reference field="3" count="1" selected="0">
            <x v="3"/>
          </reference>
        </references>
      </pivotArea>
    </chartFormat>
    <chartFormat chart="9" format="12">
      <pivotArea type="data" outline="0" fieldPosition="0">
        <references count="2">
          <reference field="4294967294" count="1" selected="0">
            <x v="0"/>
          </reference>
          <reference field="3" count="1" selected="0">
            <x v="4"/>
          </reference>
        </references>
      </pivotArea>
    </chartFormat>
    <chartFormat chart="7" format="1">
      <pivotArea type="data" outline="0" fieldPosition="0">
        <references count="2">
          <reference field="4294967294" count="1" selected="0">
            <x v="0"/>
          </reference>
          <reference field="3" count="1" selected="0">
            <x v="0"/>
          </reference>
        </references>
      </pivotArea>
    </chartFormat>
    <chartFormat chart="7" format="2">
      <pivotArea type="data" outline="0" fieldPosition="0">
        <references count="2">
          <reference field="4294967294" count="1" selected="0">
            <x v="0"/>
          </reference>
          <reference field="3" count="1" selected="0">
            <x v="1"/>
          </reference>
        </references>
      </pivotArea>
    </chartFormat>
    <chartFormat chart="7" format="3">
      <pivotArea type="data" outline="0" fieldPosition="0">
        <references count="2">
          <reference field="4294967294" count="1" selected="0">
            <x v="0"/>
          </reference>
          <reference field="3" count="1" selected="0">
            <x v="2"/>
          </reference>
        </references>
      </pivotArea>
    </chartFormat>
    <chartFormat chart="7" format="4">
      <pivotArea type="data" outline="0" fieldPosition="0">
        <references count="2">
          <reference field="4294967294" count="1" selected="0">
            <x v="0"/>
          </reference>
          <reference field="3" count="1" selected="0">
            <x v="3"/>
          </reference>
        </references>
      </pivotArea>
    </chartFormat>
    <chartFormat chart="7"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4FA9AE-45EB-4A5E-81F1-E31840D025C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C">
  <location ref="A60:E62" firstHeaderRow="1" firstDataRow="2" firstDataCol="1"/>
  <pivotFields count="10">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488">
        <item x="103"/>
        <item x="448"/>
        <item x="112"/>
        <item x="366"/>
        <item x="95"/>
        <item x="129"/>
        <item x="200"/>
        <item x="104"/>
        <item x="302"/>
        <item x="169"/>
        <item x="144"/>
        <item x="126"/>
        <item x="131"/>
        <item x="340"/>
        <item x="213"/>
        <item x="44"/>
        <item x="48"/>
        <item x="286"/>
        <item x="226"/>
        <item x="305"/>
        <item x="418"/>
        <item x="151"/>
        <item x="452"/>
        <item x="455"/>
        <item x="38"/>
        <item x="409"/>
        <item x="456"/>
        <item x="475"/>
        <item x="367"/>
        <item x="215"/>
        <item x="295"/>
        <item x="310"/>
        <item x="142"/>
        <item x="292"/>
        <item x="59"/>
        <item x="225"/>
        <item x="397"/>
        <item x="98"/>
        <item x="361"/>
        <item x="154"/>
        <item x="465"/>
        <item x="427"/>
        <item x="134"/>
        <item x="250"/>
        <item x="146"/>
        <item x="117"/>
        <item x="201"/>
        <item x="158"/>
        <item x="125"/>
        <item x="326"/>
        <item x="333"/>
        <item x="457"/>
        <item x="352"/>
        <item x="237"/>
        <item x="46"/>
        <item x="291"/>
        <item x="421"/>
        <item x="190"/>
        <item x="470"/>
        <item x="255"/>
        <item x="386"/>
        <item x="157"/>
        <item x="317"/>
        <item x="259"/>
        <item x="442"/>
        <item x="147"/>
        <item x="195"/>
        <item x="478"/>
        <item x="334"/>
        <item x="167"/>
        <item x="63"/>
        <item x="371"/>
        <item x="301"/>
        <item x="161"/>
        <item x="139"/>
        <item x="336"/>
        <item x="354"/>
        <item x="253"/>
        <item x="24"/>
        <item x="306"/>
        <item x="263"/>
        <item x="132"/>
        <item x="119"/>
        <item x="375"/>
        <item x="55"/>
        <item x="143"/>
        <item x="368"/>
        <item x="221"/>
        <item x="308"/>
        <item x="434"/>
        <item x="454"/>
        <item x="414"/>
        <item x="416"/>
        <item x="217"/>
        <item x="219"/>
        <item x="228"/>
        <item x="3"/>
        <item x="148"/>
        <item x="47"/>
        <item x="54"/>
        <item x="372"/>
        <item x="393"/>
        <item x="210"/>
        <item x="208"/>
        <item x="82"/>
        <item x="192"/>
        <item x="329"/>
        <item x="387"/>
        <item x="370"/>
        <item x="197"/>
        <item x="198"/>
        <item x="25"/>
        <item x="337"/>
        <item x="171"/>
        <item x="88"/>
        <item x="53"/>
        <item x="303"/>
        <item x="264"/>
        <item x="68"/>
        <item x="235"/>
        <item x="419"/>
        <item x="392"/>
        <item x="100"/>
        <item x="214"/>
        <item x="436"/>
        <item x="41"/>
        <item x="153"/>
        <item x="90"/>
        <item x="130"/>
        <item x="106"/>
        <item x="435"/>
        <item x="240"/>
        <item x="355"/>
        <item x="252"/>
        <item x="287"/>
        <item x="70"/>
        <item x="318"/>
        <item x="30"/>
        <item x="461"/>
        <item x="428"/>
        <item x="140"/>
        <item x="319"/>
        <item x="79"/>
        <item x="468"/>
        <item x="29"/>
        <item x="247"/>
        <item x="279"/>
        <item x="175"/>
        <item x="31"/>
        <item x="43"/>
        <item x="408"/>
        <item x="115"/>
        <item x="164"/>
        <item x="124"/>
        <item x="481"/>
        <item x="21"/>
        <item x="39"/>
        <item x="249"/>
        <item x="150"/>
        <item x="35"/>
        <item x="173"/>
        <item x="99"/>
        <item x="268"/>
        <item x="389"/>
        <item x="327"/>
        <item x="467"/>
        <item x="180"/>
        <item x="227"/>
        <item x="89"/>
        <item x="172"/>
        <item x="224"/>
        <item x="348"/>
        <item x="187"/>
        <item x="19"/>
        <item x="49"/>
        <item x="294"/>
        <item x="203"/>
        <item x="152"/>
        <item x="12"/>
        <item x="92"/>
        <item x="351"/>
        <item x="96"/>
        <item x="404"/>
        <item x="464"/>
        <item x="358"/>
        <item x="378"/>
        <item x="388"/>
        <item x="133"/>
        <item x="400"/>
        <item x="277"/>
        <item x="424"/>
        <item x="407"/>
        <item x="269"/>
        <item x="118"/>
        <item x="258"/>
        <item x="373"/>
        <item x="244"/>
        <item x="23"/>
        <item x="458"/>
        <item x="83"/>
        <item x="156"/>
        <item x="66"/>
        <item x="60"/>
        <item x="437"/>
        <item x="241"/>
        <item x="135"/>
        <item x="353"/>
        <item x="232"/>
        <item x="102"/>
        <item x="383"/>
        <item x="185"/>
        <item x="283"/>
        <item x="425"/>
        <item x="181"/>
        <item x="431"/>
        <item x="58"/>
        <item x="332"/>
        <item x="120"/>
        <item x="449"/>
        <item x="145"/>
        <item x="242"/>
        <item x="402"/>
        <item x="314"/>
        <item x="93"/>
        <item x="254"/>
        <item x="110"/>
        <item x="216"/>
        <item x="65"/>
        <item x="27"/>
        <item x="364"/>
        <item x="165"/>
        <item x="77"/>
        <item x="155"/>
        <item x="469"/>
        <item x="251"/>
        <item x="476"/>
        <item x="76"/>
        <item x="307"/>
        <item x="163"/>
        <item x="212"/>
        <item x="377"/>
        <item x="122"/>
        <item x="466"/>
        <item x="170"/>
        <item x="64"/>
        <item x="472"/>
        <item x="114"/>
        <item x="273"/>
        <item x="479"/>
        <item x="484"/>
        <item x="56"/>
        <item x="290"/>
        <item x="471"/>
        <item x="328"/>
        <item x="443"/>
        <item x="177"/>
        <item x="300"/>
        <item x="194"/>
        <item x="223"/>
        <item x="248"/>
        <item x="444"/>
        <item x="176"/>
        <item x="324"/>
        <item x="137"/>
        <item x="230"/>
        <item x="280"/>
        <item x="229"/>
        <item x="80"/>
        <item x="323"/>
        <item x="6"/>
        <item x="341"/>
        <item x="422"/>
        <item x="266"/>
        <item x="399"/>
        <item x="278"/>
        <item x="412"/>
        <item x="374"/>
        <item x="7"/>
        <item x="459"/>
        <item x="410"/>
        <item x="113"/>
        <item x="81"/>
        <item x="275"/>
        <item x="381"/>
        <item x="380"/>
        <item x="204"/>
        <item x="347"/>
        <item x="211"/>
        <item x="363"/>
        <item x="67"/>
        <item x="430"/>
        <item x="480"/>
        <item x="321"/>
        <item x="78"/>
        <item x="338"/>
        <item x="438"/>
        <item x="218"/>
        <item x="313"/>
        <item x="297"/>
        <item x="311"/>
        <item x="293"/>
        <item x="109"/>
        <item x="362"/>
        <item x="202"/>
        <item x="62"/>
        <item x="10"/>
        <item x="398"/>
        <item x="18"/>
        <item x="205"/>
        <item x="101"/>
        <item x="288"/>
        <item x="116"/>
        <item x="405"/>
        <item x="243"/>
        <item x="26"/>
        <item x="33"/>
        <item x="346"/>
        <item x="257"/>
        <item x="74"/>
        <item x="298"/>
        <item x="440"/>
        <item x="40"/>
        <item x="365"/>
        <item x="316"/>
        <item x="207"/>
        <item x="335"/>
        <item x="281"/>
        <item x="270"/>
        <item x="73"/>
        <item x="441"/>
        <item x="160"/>
        <item x="15"/>
        <item x="75"/>
        <item x="376"/>
        <item x="473"/>
        <item x="72"/>
        <item x="415"/>
        <item x="9"/>
        <item x="315"/>
        <item x="299"/>
        <item x="136"/>
        <item x="369"/>
        <item x="186"/>
        <item x="272"/>
        <item x="343"/>
        <item x="236"/>
        <item x="360"/>
        <item x="94"/>
        <item x="312"/>
        <item x="182"/>
        <item x="420"/>
        <item x="385"/>
        <item x="11"/>
        <item x="8"/>
        <item x="446"/>
        <item x="123"/>
        <item x="485"/>
        <item x="45"/>
        <item x="462"/>
        <item x="199"/>
        <item x="57"/>
        <item x="265"/>
        <item x="2"/>
        <item x="184"/>
        <item x="359"/>
        <item x="357"/>
        <item x="486"/>
        <item x="222"/>
        <item x="188"/>
        <item x="423"/>
        <item x="141"/>
        <item x="474"/>
        <item x="391"/>
        <item x="20"/>
        <item x="309"/>
        <item x="345"/>
        <item x="105"/>
        <item x="51"/>
        <item x="174"/>
        <item x="162"/>
        <item x="121"/>
        <item x="403"/>
        <item x="451"/>
        <item x="166"/>
        <item x="138"/>
        <item x="349"/>
        <item x="1"/>
        <item x="330"/>
        <item x="107"/>
        <item x="87"/>
        <item x="450"/>
        <item x="379"/>
        <item x="149"/>
        <item x="447"/>
        <item x="304"/>
        <item x="396"/>
        <item x="71"/>
        <item x="477"/>
        <item x="36"/>
        <item x="413"/>
        <item x="350"/>
        <item x="482"/>
        <item x="86"/>
        <item x="5"/>
        <item x="433"/>
        <item x="4"/>
        <item x="344"/>
        <item x="256"/>
        <item x="382"/>
        <item x="127"/>
        <item x="460"/>
        <item x="274"/>
        <item x="34"/>
        <item x="432"/>
        <item x="209"/>
        <item x="285"/>
        <item x="417"/>
        <item x="445"/>
        <item x="50"/>
        <item x="0"/>
        <item x="342"/>
        <item x="168"/>
        <item x="296"/>
        <item x="246"/>
        <item x="262"/>
        <item x="183"/>
        <item x="356"/>
        <item x="97"/>
        <item x="339"/>
        <item x="196"/>
        <item x="282"/>
        <item x="384"/>
        <item x="22"/>
        <item x="271"/>
        <item x="245"/>
        <item x="394"/>
        <item x="234"/>
        <item x="111"/>
        <item x="108"/>
        <item x="325"/>
        <item x="193"/>
        <item x="14"/>
        <item x="320"/>
        <item x="463"/>
        <item x="85"/>
        <item x="260"/>
        <item x="406"/>
        <item x="128"/>
        <item x="284"/>
        <item x="42"/>
        <item x="390"/>
        <item x="238"/>
        <item x="91"/>
        <item x="453"/>
        <item x="220"/>
        <item x="231"/>
        <item x="289"/>
        <item x="267"/>
        <item x="331"/>
        <item x="28"/>
        <item x="37"/>
        <item x="159"/>
        <item x="239"/>
        <item x="32"/>
        <item x="178"/>
        <item x="206"/>
        <item x="261"/>
        <item x="439"/>
        <item x="17"/>
        <item x="191"/>
        <item x="322"/>
        <item x="84"/>
        <item x="13"/>
        <item x="483"/>
        <item x="69"/>
        <item x="233"/>
        <item x="276"/>
        <item x="52"/>
        <item x="426"/>
        <item x="61"/>
        <item x="16"/>
        <item x="411"/>
        <item x="401"/>
        <item x="429"/>
        <item x="179"/>
        <item x="395"/>
        <item x="189"/>
        <item t="default"/>
      </items>
    </pivotField>
    <pivotField numFmtId="1" showAll="0"/>
    <pivotField showAll="0">
      <items count="6">
        <item x="0"/>
        <item x="3"/>
        <item x="4"/>
        <item x="2"/>
        <item x="1"/>
        <item t="default"/>
      </items>
    </pivotField>
    <pivotField showAll="0">
      <items count="3">
        <item h="1" x="1"/>
        <item x="0"/>
        <item t="default"/>
      </items>
    </pivotField>
    <pivotField numFmtId="166" showAll="0"/>
    <pivotField showAll="0">
      <items count="31">
        <item x="29"/>
        <item x="26"/>
        <item x="25"/>
        <item x="27"/>
        <item x="2"/>
        <item x="19"/>
        <item x="1"/>
        <item x="5"/>
        <item x="7"/>
        <item x="15"/>
        <item x="9"/>
        <item x="10"/>
        <item x="12"/>
        <item x="3"/>
        <item x="18"/>
        <item x="17"/>
        <item x="20"/>
        <item x="14"/>
        <item x="16"/>
        <item x="8"/>
        <item x="13"/>
        <item x="22"/>
        <item x="11"/>
        <item x="0"/>
        <item x="4"/>
        <item x="21"/>
        <item x="6"/>
        <item x="23"/>
        <item x="24"/>
        <item x="28"/>
        <item t="default"/>
      </items>
    </pivotField>
    <pivotField numFmtId="164" showAll="0">
      <items count="501">
        <item x="379"/>
        <item x="186"/>
        <item x="405"/>
        <item x="374"/>
        <item x="271"/>
        <item x="447"/>
        <item x="359"/>
        <item x="390"/>
        <item x="417"/>
        <item x="446"/>
        <item x="324"/>
        <item x="266"/>
        <item x="356"/>
        <item x="148"/>
        <item x="469"/>
        <item x="357"/>
        <item x="280"/>
        <item x="404"/>
        <item x="470"/>
        <item x="9"/>
        <item x="286"/>
        <item x="232"/>
        <item x="481"/>
        <item x="291"/>
        <item x="253"/>
        <item x="17"/>
        <item x="227"/>
        <item x="377"/>
        <item x="214"/>
        <item x="258"/>
        <item x="201"/>
        <item x="415"/>
        <item x="301"/>
        <item x="122"/>
        <item x="421"/>
        <item x="114"/>
        <item x="412"/>
        <item x="134"/>
        <item x="249"/>
        <item x="401"/>
        <item x="90"/>
        <item x="2"/>
        <item x="362"/>
        <item x="91"/>
        <item x="156"/>
        <item x="41"/>
        <item x="68"/>
        <item x="7"/>
        <item x="56"/>
        <item x="149"/>
        <item x="339"/>
        <item x="30"/>
        <item x="106"/>
        <item x="395"/>
        <item x="380"/>
        <item x="300"/>
        <item x="248"/>
        <item x="1"/>
        <item x="424"/>
        <item x="79"/>
        <item x="287"/>
        <item x="288"/>
        <item x="328"/>
        <item x="351"/>
        <item x="310"/>
        <item x="212"/>
        <item x="434"/>
        <item x="161"/>
        <item x="391"/>
        <item x="87"/>
        <item x="183"/>
        <item x="5"/>
        <item x="365"/>
        <item x="490"/>
        <item x="338"/>
        <item x="143"/>
        <item x="231"/>
        <item x="199"/>
        <item x="499"/>
        <item x="491"/>
        <item x="487"/>
        <item x="471"/>
        <item x="37"/>
        <item x="334"/>
        <item x="238"/>
        <item x="346"/>
        <item x="277"/>
        <item x="18"/>
        <item x="332"/>
        <item x="190"/>
        <item x="93"/>
        <item x="496"/>
        <item x="62"/>
        <item x="8"/>
        <item x="296"/>
        <item x="396"/>
        <item x="151"/>
        <item x="77"/>
        <item x="89"/>
        <item x="323"/>
        <item x="188"/>
        <item x="192"/>
        <item x="164"/>
        <item x="101"/>
        <item x="196"/>
        <item x="408"/>
        <item x="15"/>
        <item x="63"/>
        <item x="322"/>
        <item x="318"/>
        <item x="432"/>
        <item x="121"/>
        <item x="495"/>
        <item x="207"/>
        <item x="451"/>
        <item x="414"/>
        <item x="267"/>
        <item x="65"/>
        <item x="383"/>
        <item x="70"/>
        <item x="173"/>
        <item x="455"/>
        <item x="381"/>
        <item x="119"/>
        <item x="305"/>
        <item x="46"/>
        <item x="497"/>
        <item x="275"/>
        <item x="204"/>
        <item x="354"/>
        <item x="39"/>
        <item x="259"/>
        <item x="45"/>
        <item x="245"/>
        <item x="171"/>
        <item x="411"/>
        <item x="69"/>
        <item x="225"/>
        <item x="298"/>
        <item x="100"/>
        <item x="226"/>
        <item x="220"/>
        <item x="67"/>
        <item x="211"/>
        <item x="397"/>
        <item x="21"/>
        <item x="34"/>
        <item x="154"/>
        <item x="215"/>
        <item x="270"/>
        <item x="64"/>
        <item x="367"/>
        <item x="142"/>
        <item x="303"/>
        <item x="233"/>
        <item x="468"/>
        <item x="71"/>
        <item x="399"/>
        <item x="153"/>
        <item x="419"/>
        <item x="98"/>
        <item x="129"/>
        <item x="263"/>
        <item x="341"/>
        <item x="420"/>
        <item x="331"/>
        <item x="177"/>
        <item x="11"/>
        <item x="222"/>
        <item x="167"/>
        <item x="242"/>
        <item x="418"/>
        <item x="12"/>
        <item x="88"/>
        <item x="463"/>
        <item x="237"/>
        <item x="317"/>
        <item x="33"/>
        <item x="427"/>
        <item x="372"/>
        <item x="169"/>
        <item x="440"/>
        <item x="464"/>
        <item x="198"/>
        <item x="66"/>
        <item x="467"/>
        <item x="172"/>
        <item x="342"/>
        <item x="189"/>
        <item x="329"/>
        <item x="3"/>
        <item x="330"/>
        <item x="229"/>
        <item x="476"/>
        <item x="448"/>
        <item x="99"/>
        <item x="210"/>
        <item x="349"/>
        <item x="369"/>
        <item x="293"/>
        <item x="437"/>
        <item x="230"/>
        <item x="14"/>
        <item x="48"/>
        <item x="126"/>
        <item x="175"/>
        <item x="38"/>
        <item x="219"/>
        <item x="74"/>
        <item x="112"/>
        <item x="461"/>
        <item x="51"/>
        <item x="350"/>
        <item x="348"/>
        <item x="42"/>
        <item x="426"/>
        <item x="375"/>
        <item x="413"/>
        <item x="278"/>
        <item x="327"/>
        <item x="240"/>
        <item x="433"/>
        <item x="47"/>
        <item x="206"/>
        <item x="313"/>
        <item x="176"/>
        <item x="247"/>
        <item x="283"/>
        <item x="345"/>
        <item x="294"/>
        <item x="138"/>
        <item x="133"/>
        <item x="141"/>
        <item x="185"/>
        <item x="452"/>
        <item x="358"/>
        <item x="400"/>
        <item x="376"/>
        <item x="146"/>
        <item x="265"/>
        <item x="243"/>
        <item x="394"/>
        <item x="81"/>
        <item x="416"/>
        <item x="482"/>
        <item x="360"/>
        <item x="163"/>
        <item x="160"/>
        <item x="241"/>
        <item x="428"/>
        <item x="76"/>
        <item x="302"/>
        <item x="403"/>
        <item x="35"/>
        <item x="344"/>
        <item x="165"/>
        <item x="50"/>
        <item x="457"/>
        <item x="361"/>
        <item x="262"/>
        <item x="193"/>
        <item x="402"/>
        <item x="325"/>
        <item x="110"/>
        <item x="195"/>
        <item x="139"/>
        <item x="493"/>
        <item x="113"/>
        <item x="489"/>
        <item x="36"/>
        <item x="473"/>
        <item x="32"/>
        <item x="273"/>
        <item x="223"/>
        <item x="304"/>
        <item x="162"/>
        <item x="24"/>
        <item x="84"/>
        <item x="388"/>
        <item x="181"/>
        <item x="244"/>
        <item x="252"/>
        <item x="43"/>
        <item x="308"/>
        <item x="492"/>
        <item x="228"/>
        <item x="384"/>
        <item x="460"/>
        <item x="132"/>
        <item x="182"/>
        <item x="125"/>
        <item x="453"/>
        <item x="27"/>
        <item x="78"/>
        <item x="102"/>
        <item x="123"/>
        <item x="335"/>
        <item x="53"/>
        <item x="137"/>
        <item x="269"/>
        <item x="274"/>
        <item x="441"/>
        <item x="264"/>
        <item x="385"/>
        <item x="486"/>
        <item x="321"/>
        <item x="80"/>
        <item x="136"/>
        <item x="96"/>
        <item x="73"/>
        <item x="86"/>
        <item x="431"/>
        <item x="366"/>
        <item x="458"/>
        <item x="29"/>
        <item x="205"/>
        <item x="407"/>
        <item x="477"/>
        <item x="19"/>
        <item x="108"/>
        <item x="191"/>
        <item x="436"/>
        <item x="474"/>
        <item x="406"/>
        <item x="439"/>
        <item x="144"/>
        <item x="209"/>
        <item x="131"/>
        <item x="203"/>
        <item x="57"/>
        <item x="170"/>
        <item x="393"/>
        <item x="213"/>
        <item x="25"/>
        <item x="23"/>
        <item x="187"/>
        <item x="355"/>
        <item x="250"/>
        <item x="128"/>
        <item x="155"/>
        <item x="168"/>
        <item x="135"/>
        <item x="485"/>
        <item x="387"/>
        <item x="103"/>
        <item x="208"/>
        <item x="340"/>
        <item x="429"/>
        <item x="166"/>
        <item x="297"/>
        <item x="184"/>
        <item x="28"/>
        <item x="10"/>
        <item x="22"/>
        <item x="279"/>
        <item x="26"/>
        <item x="442"/>
        <item x="127"/>
        <item x="480"/>
        <item x="58"/>
        <item x="443"/>
        <item x="422"/>
        <item x="104"/>
        <item x="276"/>
        <item x="392"/>
        <item x="140"/>
        <item x="217"/>
        <item x="307"/>
        <item x="221"/>
        <item x="371"/>
        <item x="218"/>
        <item x="115"/>
        <item x="40"/>
        <item x="117"/>
        <item x="353"/>
        <item x="178"/>
        <item x="257"/>
        <item x="16"/>
        <item x="282"/>
        <item x="52"/>
        <item x="315"/>
        <item x="236"/>
        <item x="72"/>
        <item x="326"/>
        <item x="157"/>
        <item x="475"/>
        <item x="309"/>
        <item x="306"/>
        <item x="347"/>
        <item x="145"/>
        <item x="124"/>
        <item x="261"/>
        <item x="54"/>
        <item x="459"/>
        <item x="456"/>
        <item x="454"/>
        <item x="75"/>
        <item x="364"/>
        <item x="311"/>
        <item x="295"/>
        <item x="450"/>
        <item x="290"/>
        <item x="92"/>
        <item x="410"/>
        <item x="60"/>
        <item x="284"/>
        <item x="449"/>
        <item x="44"/>
        <item x="292"/>
        <item x="425"/>
        <item x="158"/>
        <item x="94"/>
        <item x="281"/>
        <item x="20"/>
        <item x="333"/>
        <item x="498"/>
        <item x="97"/>
        <item x="120"/>
        <item x="398"/>
        <item x="445"/>
        <item x="116"/>
        <item x="409"/>
        <item x="235"/>
        <item x="370"/>
        <item x="423"/>
        <item x="382"/>
        <item x="312"/>
        <item x="61"/>
        <item x="363"/>
        <item x="285"/>
        <item x="438"/>
        <item x="479"/>
        <item x="268"/>
        <item x="152"/>
        <item x="179"/>
        <item x="478"/>
        <item x="130"/>
        <item x="299"/>
        <item x="216"/>
        <item x="314"/>
        <item x="159"/>
        <item x="444"/>
        <item x="246"/>
        <item x="83"/>
        <item x="483"/>
        <item x="466"/>
        <item x="224"/>
        <item x="49"/>
        <item x="13"/>
        <item x="107"/>
        <item x="150"/>
        <item x="435"/>
        <item x="0"/>
        <item x="272"/>
        <item x="109"/>
        <item x="147"/>
        <item x="55"/>
        <item x="343"/>
        <item x="260"/>
        <item x="256"/>
        <item x="352"/>
        <item x="386"/>
        <item x="251"/>
        <item x="254"/>
        <item x="105"/>
        <item x="180"/>
        <item x="320"/>
        <item x="111"/>
        <item x="174"/>
        <item x="462"/>
        <item x="239"/>
        <item x="85"/>
        <item x="234"/>
        <item x="95"/>
        <item x="430"/>
        <item x="31"/>
        <item x="484"/>
        <item x="368"/>
        <item x="465"/>
        <item x="4"/>
        <item x="389"/>
        <item x="316"/>
        <item x="194"/>
        <item x="378"/>
        <item x="59"/>
        <item x="319"/>
        <item x="494"/>
        <item x="200"/>
        <item x="197"/>
        <item x="337"/>
        <item x="472"/>
        <item x="336"/>
        <item x="289"/>
        <item x="6"/>
        <item x="82"/>
        <item x="202"/>
        <item x="118"/>
        <item x="255"/>
        <item x="488"/>
        <item x="373"/>
        <item t="default"/>
      </items>
    </pivotField>
    <pivotField showAll="0">
      <items count="4">
        <item x="2"/>
        <item x="0"/>
        <item x="1"/>
        <item t="default"/>
      </items>
    </pivotField>
    <pivotField axis="axisCol" showAll="0">
      <items count="4">
        <item x="1"/>
        <item x="0"/>
        <item x="2"/>
        <item t="default"/>
      </items>
    </pivotField>
  </pivotFields>
  <rowItems count="1">
    <i/>
  </rowItems>
  <colFields count="1">
    <field x="9"/>
  </colFields>
  <colItems count="4">
    <i>
      <x/>
    </i>
    <i>
      <x v="1"/>
    </i>
    <i>
      <x v="2"/>
    </i>
    <i t="grand">
      <x/>
    </i>
  </colItems>
  <dataFields count="1">
    <dataField name="Count of Index" fld="0" subtotal="count" baseField="0" baseItem="0"/>
  </dataFields>
  <chartFormats count="11">
    <chartFormat chart="15"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series="1">
      <pivotArea type="data" outline="0" fieldPosition="0">
        <references count="2">
          <reference field="4294967294" count="1" selected="0">
            <x v="0"/>
          </reference>
          <reference field="9" count="1" selected="0">
            <x v="1"/>
          </reference>
        </references>
      </pivotArea>
    </chartFormat>
    <chartFormat chart="18" format="4" series="1">
      <pivotArea type="data" outline="0" fieldPosition="0">
        <references count="2">
          <reference field="4294967294" count="1" selected="0">
            <x v="0"/>
          </reference>
          <reference field="9" count="1" selected="0">
            <x v="2"/>
          </reference>
        </references>
      </pivotArea>
    </chartFormat>
    <chartFormat chart="17" format="2" series="1">
      <pivotArea type="data" outline="0" fieldPosition="0">
        <references count="2">
          <reference field="4294967294" count="1" selected="0">
            <x v="0"/>
          </reference>
          <reference field="9" count="1" selected="0">
            <x v="1"/>
          </reference>
        </references>
      </pivotArea>
    </chartFormat>
    <chartFormat chart="17" format="3" series="1">
      <pivotArea type="data" outline="0" fieldPosition="0">
        <references count="2">
          <reference field="4294967294" count="1" selected="0">
            <x v="0"/>
          </reference>
          <reference field="9" count="1" selected="0">
            <x v="2"/>
          </reference>
        </references>
      </pivotArea>
    </chartFormat>
    <chartFormat chart="15" format="1" series="1">
      <pivotArea type="data" outline="0" fieldPosition="0">
        <references count="2">
          <reference field="4294967294" count="1" selected="0">
            <x v="0"/>
          </reference>
          <reference field="9" count="1" selected="0">
            <x v="1"/>
          </reference>
        </references>
      </pivotArea>
    </chartFormat>
    <chartFormat chart="15" format="2" series="1">
      <pivotArea type="data" outline="0" fieldPosition="0">
        <references count="2">
          <reference field="4294967294" count="1" selected="0">
            <x v="0"/>
          </reference>
          <reference field="9" count="1" selected="0">
            <x v="2"/>
          </reference>
        </references>
      </pivotArea>
    </chartFormat>
    <chartFormat chart="18" format="5" series="1">
      <pivotArea type="data" outline="0" fieldPosition="0">
        <references count="2">
          <reference field="4294967294" count="1" selected="0">
            <x v="0"/>
          </reference>
          <reference field="9" count="1" selected="0">
            <x v="0"/>
          </reference>
        </references>
      </pivotArea>
    </chartFormat>
    <chartFormat chart="15" format="3"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7C9852-7ACF-490F-85A3-C13EE1EF25E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C">
  <location ref="A80:B86" firstHeaderRow="1" firstDataRow="1" firstDataCol="1"/>
  <pivotFields count="10">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488">
        <item x="103"/>
        <item x="448"/>
        <item x="112"/>
        <item x="366"/>
        <item x="95"/>
        <item x="129"/>
        <item x="200"/>
        <item x="104"/>
        <item x="302"/>
        <item x="169"/>
        <item x="144"/>
        <item x="126"/>
        <item x="131"/>
        <item x="340"/>
        <item x="213"/>
        <item x="44"/>
        <item x="48"/>
        <item x="286"/>
        <item x="226"/>
        <item x="305"/>
        <item x="418"/>
        <item x="151"/>
        <item x="452"/>
        <item x="455"/>
        <item x="38"/>
        <item x="409"/>
        <item x="456"/>
        <item x="475"/>
        <item x="367"/>
        <item x="215"/>
        <item x="295"/>
        <item x="310"/>
        <item x="142"/>
        <item x="292"/>
        <item x="59"/>
        <item x="225"/>
        <item x="397"/>
        <item x="98"/>
        <item x="361"/>
        <item x="154"/>
        <item x="465"/>
        <item x="427"/>
        <item x="134"/>
        <item x="250"/>
        <item x="146"/>
        <item x="117"/>
        <item x="201"/>
        <item x="158"/>
        <item x="125"/>
        <item x="326"/>
        <item x="333"/>
        <item x="457"/>
        <item x="352"/>
        <item x="237"/>
        <item x="46"/>
        <item x="291"/>
        <item x="421"/>
        <item x="190"/>
        <item x="470"/>
        <item x="255"/>
        <item x="386"/>
        <item x="157"/>
        <item x="317"/>
        <item x="259"/>
        <item x="442"/>
        <item x="147"/>
        <item x="195"/>
        <item x="478"/>
        <item x="334"/>
        <item x="167"/>
        <item x="63"/>
        <item x="371"/>
        <item x="301"/>
        <item x="161"/>
        <item x="139"/>
        <item x="336"/>
        <item x="354"/>
        <item x="253"/>
        <item x="24"/>
        <item x="306"/>
        <item x="263"/>
        <item x="132"/>
        <item x="119"/>
        <item x="375"/>
        <item x="55"/>
        <item x="143"/>
        <item x="368"/>
        <item x="221"/>
        <item x="308"/>
        <item x="434"/>
        <item x="454"/>
        <item x="414"/>
        <item x="416"/>
        <item x="217"/>
        <item x="219"/>
        <item x="228"/>
        <item x="3"/>
        <item x="148"/>
        <item x="47"/>
        <item x="54"/>
        <item x="372"/>
        <item x="393"/>
        <item x="210"/>
        <item x="208"/>
        <item x="82"/>
        <item x="192"/>
        <item x="329"/>
        <item x="387"/>
        <item x="370"/>
        <item x="197"/>
        <item x="198"/>
        <item x="25"/>
        <item x="337"/>
        <item x="171"/>
        <item x="88"/>
        <item x="53"/>
        <item x="303"/>
        <item x="264"/>
        <item x="68"/>
        <item x="235"/>
        <item x="419"/>
        <item x="392"/>
        <item x="100"/>
        <item x="214"/>
        <item x="436"/>
        <item x="41"/>
        <item x="153"/>
        <item x="90"/>
        <item x="130"/>
        <item x="106"/>
        <item x="435"/>
        <item x="240"/>
        <item x="355"/>
        <item x="252"/>
        <item x="287"/>
        <item x="70"/>
        <item x="318"/>
        <item x="30"/>
        <item x="461"/>
        <item x="428"/>
        <item x="140"/>
        <item x="319"/>
        <item x="79"/>
        <item x="468"/>
        <item x="29"/>
        <item x="247"/>
        <item x="279"/>
        <item x="175"/>
        <item x="31"/>
        <item x="43"/>
        <item x="408"/>
        <item x="115"/>
        <item x="164"/>
        <item x="124"/>
        <item x="481"/>
        <item x="21"/>
        <item x="39"/>
        <item x="249"/>
        <item x="150"/>
        <item x="35"/>
        <item x="173"/>
        <item x="99"/>
        <item x="268"/>
        <item x="389"/>
        <item x="327"/>
        <item x="467"/>
        <item x="180"/>
        <item x="227"/>
        <item x="89"/>
        <item x="172"/>
        <item x="224"/>
        <item x="348"/>
        <item x="187"/>
        <item x="19"/>
        <item x="49"/>
        <item x="294"/>
        <item x="203"/>
        <item x="152"/>
        <item x="12"/>
        <item x="92"/>
        <item x="351"/>
        <item x="96"/>
        <item x="404"/>
        <item x="464"/>
        <item x="358"/>
        <item x="378"/>
        <item x="388"/>
        <item x="133"/>
        <item x="400"/>
        <item x="277"/>
        <item x="424"/>
        <item x="407"/>
        <item x="269"/>
        <item x="118"/>
        <item x="258"/>
        <item x="373"/>
        <item x="244"/>
        <item x="23"/>
        <item x="458"/>
        <item x="83"/>
        <item x="156"/>
        <item x="66"/>
        <item x="60"/>
        <item x="437"/>
        <item x="241"/>
        <item x="135"/>
        <item x="353"/>
        <item x="232"/>
        <item x="102"/>
        <item x="383"/>
        <item x="185"/>
        <item x="283"/>
        <item x="425"/>
        <item x="181"/>
        <item x="431"/>
        <item x="58"/>
        <item x="332"/>
        <item x="120"/>
        <item x="449"/>
        <item x="145"/>
        <item x="242"/>
        <item x="402"/>
        <item x="314"/>
        <item x="93"/>
        <item x="254"/>
        <item x="110"/>
        <item x="216"/>
        <item x="65"/>
        <item x="27"/>
        <item x="364"/>
        <item x="165"/>
        <item x="77"/>
        <item x="155"/>
        <item x="469"/>
        <item x="251"/>
        <item x="476"/>
        <item x="76"/>
        <item x="307"/>
        <item x="163"/>
        <item x="212"/>
        <item x="377"/>
        <item x="122"/>
        <item x="466"/>
        <item x="170"/>
        <item x="64"/>
        <item x="472"/>
        <item x="114"/>
        <item x="273"/>
        <item x="479"/>
        <item x="484"/>
        <item x="56"/>
        <item x="290"/>
        <item x="471"/>
        <item x="328"/>
        <item x="443"/>
        <item x="177"/>
        <item x="300"/>
        <item x="194"/>
        <item x="223"/>
        <item x="248"/>
        <item x="444"/>
        <item x="176"/>
        <item x="324"/>
        <item x="137"/>
        <item x="230"/>
        <item x="280"/>
        <item x="229"/>
        <item x="80"/>
        <item x="323"/>
        <item x="6"/>
        <item x="341"/>
        <item x="422"/>
        <item x="266"/>
        <item x="399"/>
        <item x="278"/>
        <item x="412"/>
        <item x="374"/>
        <item x="7"/>
        <item x="459"/>
        <item x="410"/>
        <item x="113"/>
        <item x="81"/>
        <item x="275"/>
        <item x="381"/>
        <item x="380"/>
        <item x="204"/>
        <item x="347"/>
        <item x="211"/>
        <item x="363"/>
        <item x="67"/>
        <item x="430"/>
        <item x="480"/>
        <item x="321"/>
        <item x="78"/>
        <item x="338"/>
        <item x="438"/>
        <item x="218"/>
        <item x="313"/>
        <item x="297"/>
        <item x="311"/>
        <item x="293"/>
        <item x="109"/>
        <item x="362"/>
        <item x="202"/>
        <item x="62"/>
        <item x="10"/>
        <item x="398"/>
        <item x="18"/>
        <item x="205"/>
        <item x="101"/>
        <item x="288"/>
        <item x="116"/>
        <item x="405"/>
        <item x="243"/>
        <item x="26"/>
        <item x="33"/>
        <item x="346"/>
        <item x="257"/>
        <item x="74"/>
        <item x="298"/>
        <item x="440"/>
        <item x="40"/>
        <item x="365"/>
        <item x="316"/>
        <item x="207"/>
        <item x="335"/>
        <item x="281"/>
        <item x="270"/>
        <item x="73"/>
        <item x="441"/>
        <item x="160"/>
        <item x="15"/>
        <item x="75"/>
        <item x="376"/>
        <item x="473"/>
        <item x="72"/>
        <item x="415"/>
        <item x="9"/>
        <item x="315"/>
        <item x="299"/>
        <item x="136"/>
        <item x="369"/>
        <item x="186"/>
        <item x="272"/>
        <item x="343"/>
        <item x="236"/>
        <item x="360"/>
        <item x="94"/>
        <item x="312"/>
        <item x="182"/>
        <item x="420"/>
        <item x="385"/>
        <item x="11"/>
        <item x="8"/>
        <item x="446"/>
        <item x="123"/>
        <item x="485"/>
        <item x="45"/>
        <item x="462"/>
        <item x="199"/>
        <item x="57"/>
        <item x="265"/>
        <item x="2"/>
        <item x="184"/>
        <item x="359"/>
        <item x="357"/>
        <item x="486"/>
        <item x="222"/>
        <item x="188"/>
        <item x="423"/>
        <item x="141"/>
        <item x="474"/>
        <item x="391"/>
        <item x="20"/>
        <item x="309"/>
        <item x="345"/>
        <item x="105"/>
        <item x="51"/>
        <item x="174"/>
        <item x="162"/>
        <item x="121"/>
        <item x="403"/>
        <item x="451"/>
        <item x="166"/>
        <item x="138"/>
        <item x="349"/>
        <item x="1"/>
        <item x="330"/>
        <item x="107"/>
        <item x="87"/>
        <item x="450"/>
        <item x="379"/>
        <item x="149"/>
        <item x="447"/>
        <item x="304"/>
        <item x="396"/>
        <item x="71"/>
        <item x="477"/>
        <item x="36"/>
        <item x="413"/>
        <item x="350"/>
        <item x="482"/>
        <item x="86"/>
        <item x="5"/>
        <item x="433"/>
        <item x="4"/>
        <item x="344"/>
        <item x="256"/>
        <item x="382"/>
        <item x="127"/>
        <item x="460"/>
        <item x="274"/>
        <item x="34"/>
        <item x="432"/>
        <item x="209"/>
        <item x="285"/>
        <item x="417"/>
        <item x="445"/>
        <item x="50"/>
        <item x="0"/>
        <item x="342"/>
        <item x="168"/>
        <item x="296"/>
        <item x="246"/>
        <item x="262"/>
        <item x="183"/>
        <item x="356"/>
        <item x="97"/>
        <item x="339"/>
        <item x="196"/>
        <item x="282"/>
        <item x="384"/>
        <item x="22"/>
        <item x="271"/>
        <item x="245"/>
        <item x="394"/>
        <item x="234"/>
        <item x="111"/>
        <item x="108"/>
        <item x="325"/>
        <item x="193"/>
        <item x="14"/>
        <item x="320"/>
        <item x="463"/>
        <item x="85"/>
        <item x="260"/>
        <item x="406"/>
        <item x="128"/>
        <item x="284"/>
        <item x="42"/>
        <item x="390"/>
        <item x="238"/>
        <item x="91"/>
        <item x="453"/>
        <item x="220"/>
        <item x="231"/>
        <item x="289"/>
        <item x="267"/>
        <item x="331"/>
        <item x="28"/>
        <item x="37"/>
        <item x="159"/>
        <item x="239"/>
        <item x="32"/>
        <item x="178"/>
        <item x="206"/>
        <item x="261"/>
        <item x="439"/>
        <item x="17"/>
        <item x="191"/>
        <item x="322"/>
        <item x="84"/>
        <item x="13"/>
        <item x="483"/>
        <item x="69"/>
        <item x="233"/>
        <item x="276"/>
        <item x="52"/>
        <item x="426"/>
        <item x="61"/>
        <item x="16"/>
        <item x="411"/>
        <item x="401"/>
        <item x="429"/>
        <item x="179"/>
        <item x="395"/>
        <item x="189"/>
        <item t="default"/>
      </items>
    </pivotField>
    <pivotField numFmtId="1" showAll="0"/>
    <pivotField axis="axisRow" showAll="0">
      <items count="6">
        <item x="0"/>
        <item x="3"/>
        <item x="4"/>
        <item x="2"/>
        <item x="1"/>
        <item t="default"/>
      </items>
    </pivotField>
    <pivotField showAll="0">
      <items count="3">
        <item h="1" x="1"/>
        <item x="0"/>
        <item t="default"/>
      </items>
    </pivotField>
    <pivotField numFmtId="166" showAll="0"/>
    <pivotField showAll="0"/>
    <pivotField dataField="1" numFmtId="164" showAll="0"/>
    <pivotField showAll="0">
      <items count="4">
        <item x="2"/>
        <item x="0"/>
        <item x="1"/>
        <item t="default"/>
      </items>
    </pivotField>
    <pivotField showAll="0">
      <items count="4">
        <item x="1"/>
        <item x="0"/>
        <item x="2"/>
        <item t="default"/>
      </items>
    </pivotField>
  </pivotFields>
  <rowFields count="1">
    <field x="3"/>
  </rowFields>
  <rowItems count="6">
    <i>
      <x/>
    </i>
    <i>
      <x v="1"/>
    </i>
    <i>
      <x v="2"/>
    </i>
    <i>
      <x v="3"/>
    </i>
    <i>
      <x v="4"/>
    </i>
    <i t="grand">
      <x/>
    </i>
  </rowItems>
  <colItems count="1">
    <i/>
  </colItems>
  <dataFields count="1">
    <dataField name="Sum of Salary" fld="7" baseField="0" baseItem="0"/>
  </dataFields>
  <chartFormats count="18">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3" count="1" selected="0">
            <x v="0"/>
          </reference>
        </references>
      </pivotArea>
    </chartFormat>
    <chartFormat chart="8" format="3">
      <pivotArea type="data" outline="0" fieldPosition="0">
        <references count="2">
          <reference field="4294967294" count="1" selected="0">
            <x v="0"/>
          </reference>
          <reference field="3" count="1" selected="0">
            <x v="1"/>
          </reference>
        </references>
      </pivotArea>
    </chartFormat>
    <chartFormat chart="8" format="4">
      <pivotArea type="data" outline="0" fieldPosition="0">
        <references count="2">
          <reference field="4294967294" count="1" selected="0">
            <x v="0"/>
          </reference>
          <reference field="3" count="1" selected="0">
            <x v="2"/>
          </reference>
        </references>
      </pivotArea>
    </chartFormat>
    <chartFormat chart="8" format="5">
      <pivotArea type="data" outline="0" fieldPosition="0">
        <references count="2">
          <reference field="4294967294" count="1" selected="0">
            <x v="0"/>
          </reference>
          <reference field="3" count="1" selected="0">
            <x v="3"/>
          </reference>
        </references>
      </pivotArea>
    </chartFormat>
    <chartFormat chart="8" format="6">
      <pivotArea type="data" outline="0" fieldPosition="0">
        <references count="2">
          <reference field="4294967294" count="1" selected="0">
            <x v="0"/>
          </reference>
          <reference field="3" count="1" selected="0">
            <x v="4"/>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3" count="1" selected="0">
            <x v="0"/>
          </reference>
        </references>
      </pivotArea>
    </chartFormat>
    <chartFormat chart="9" format="9">
      <pivotArea type="data" outline="0" fieldPosition="0">
        <references count="2">
          <reference field="4294967294" count="1" selected="0">
            <x v="0"/>
          </reference>
          <reference field="3" count="1" selected="0">
            <x v="1"/>
          </reference>
        </references>
      </pivotArea>
    </chartFormat>
    <chartFormat chart="9" format="10">
      <pivotArea type="data" outline="0" fieldPosition="0">
        <references count="2">
          <reference field="4294967294" count="1" selected="0">
            <x v="0"/>
          </reference>
          <reference field="3" count="1" selected="0">
            <x v="2"/>
          </reference>
        </references>
      </pivotArea>
    </chartFormat>
    <chartFormat chart="9" format="11">
      <pivotArea type="data" outline="0" fieldPosition="0">
        <references count="2">
          <reference field="4294967294" count="1" selected="0">
            <x v="0"/>
          </reference>
          <reference field="3" count="1" selected="0">
            <x v="3"/>
          </reference>
        </references>
      </pivotArea>
    </chartFormat>
    <chartFormat chart="9" format="12">
      <pivotArea type="data" outline="0" fieldPosition="0">
        <references count="2">
          <reference field="4294967294" count="1" selected="0">
            <x v="0"/>
          </reference>
          <reference field="3" count="1" selected="0">
            <x v="4"/>
          </reference>
        </references>
      </pivotArea>
    </chartFormat>
    <chartFormat chart="7" format="1">
      <pivotArea type="data" outline="0" fieldPosition="0">
        <references count="2">
          <reference field="4294967294" count="1" selected="0">
            <x v="0"/>
          </reference>
          <reference field="3" count="1" selected="0">
            <x v="0"/>
          </reference>
        </references>
      </pivotArea>
    </chartFormat>
    <chartFormat chart="7" format="2">
      <pivotArea type="data" outline="0" fieldPosition="0">
        <references count="2">
          <reference field="4294967294" count="1" selected="0">
            <x v="0"/>
          </reference>
          <reference field="3" count="1" selected="0">
            <x v="1"/>
          </reference>
        </references>
      </pivotArea>
    </chartFormat>
    <chartFormat chart="7" format="3">
      <pivotArea type="data" outline="0" fieldPosition="0">
        <references count="2">
          <reference field="4294967294" count="1" selected="0">
            <x v="0"/>
          </reference>
          <reference field="3" count="1" selected="0">
            <x v="2"/>
          </reference>
        </references>
      </pivotArea>
    </chartFormat>
    <chartFormat chart="7" format="4">
      <pivotArea type="data" outline="0" fieldPosition="0">
        <references count="2">
          <reference field="4294967294" count="1" selected="0">
            <x v="0"/>
          </reference>
          <reference field="3" count="1" selected="0">
            <x v="3"/>
          </reference>
        </references>
      </pivotArea>
    </chartFormat>
    <chartFormat chart="7"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3B312E-EB12-4345-9DF0-423984B689F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
  <location ref="A43:E45" firstHeaderRow="1" firstDataRow="2" firstDataCol="1"/>
  <pivotFields count="10">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488">
        <item x="103"/>
        <item x="448"/>
        <item x="112"/>
        <item x="366"/>
        <item x="95"/>
        <item x="129"/>
        <item x="200"/>
        <item x="104"/>
        <item x="302"/>
        <item x="169"/>
        <item x="144"/>
        <item x="126"/>
        <item x="131"/>
        <item x="340"/>
        <item x="213"/>
        <item x="44"/>
        <item x="48"/>
        <item x="286"/>
        <item x="226"/>
        <item x="305"/>
        <item x="418"/>
        <item x="151"/>
        <item x="452"/>
        <item x="455"/>
        <item x="38"/>
        <item x="409"/>
        <item x="456"/>
        <item x="475"/>
        <item x="367"/>
        <item x="215"/>
        <item x="295"/>
        <item x="310"/>
        <item x="142"/>
        <item x="292"/>
        <item x="59"/>
        <item x="225"/>
        <item x="397"/>
        <item x="98"/>
        <item x="361"/>
        <item x="154"/>
        <item x="465"/>
        <item x="427"/>
        <item x="134"/>
        <item x="250"/>
        <item x="146"/>
        <item x="117"/>
        <item x="201"/>
        <item x="158"/>
        <item x="125"/>
        <item x="326"/>
        <item x="333"/>
        <item x="457"/>
        <item x="352"/>
        <item x="237"/>
        <item x="46"/>
        <item x="291"/>
        <item x="421"/>
        <item x="190"/>
        <item x="470"/>
        <item x="255"/>
        <item x="386"/>
        <item x="157"/>
        <item x="317"/>
        <item x="259"/>
        <item x="442"/>
        <item x="147"/>
        <item x="195"/>
        <item x="478"/>
        <item x="334"/>
        <item x="167"/>
        <item x="63"/>
        <item x="371"/>
        <item x="301"/>
        <item x="161"/>
        <item x="139"/>
        <item x="336"/>
        <item x="354"/>
        <item x="253"/>
        <item x="24"/>
        <item x="306"/>
        <item x="263"/>
        <item x="132"/>
        <item x="119"/>
        <item x="375"/>
        <item x="55"/>
        <item x="143"/>
        <item x="368"/>
        <item x="221"/>
        <item x="308"/>
        <item x="434"/>
        <item x="454"/>
        <item x="414"/>
        <item x="416"/>
        <item x="217"/>
        <item x="219"/>
        <item x="228"/>
        <item x="3"/>
        <item x="148"/>
        <item x="47"/>
        <item x="54"/>
        <item x="372"/>
        <item x="393"/>
        <item x="210"/>
        <item x="208"/>
        <item x="82"/>
        <item x="192"/>
        <item x="329"/>
        <item x="387"/>
        <item x="370"/>
        <item x="197"/>
        <item x="198"/>
        <item x="25"/>
        <item x="337"/>
        <item x="171"/>
        <item x="88"/>
        <item x="53"/>
        <item x="303"/>
        <item x="264"/>
        <item x="68"/>
        <item x="235"/>
        <item x="419"/>
        <item x="392"/>
        <item x="100"/>
        <item x="214"/>
        <item x="436"/>
        <item x="41"/>
        <item x="153"/>
        <item x="90"/>
        <item x="130"/>
        <item x="106"/>
        <item x="435"/>
        <item x="240"/>
        <item x="355"/>
        <item x="252"/>
        <item x="287"/>
        <item x="70"/>
        <item x="318"/>
        <item x="30"/>
        <item x="461"/>
        <item x="428"/>
        <item x="140"/>
        <item x="319"/>
        <item x="79"/>
        <item x="468"/>
        <item x="29"/>
        <item x="247"/>
        <item x="279"/>
        <item x="175"/>
        <item x="31"/>
        <item x="43"/>
        <item x="408"/>
        <item x="115"/>
        <item x="164"/>
        <item x="124"/>
        <item x="481"/>
        <item x="21"/>
        <item x="39"/>
        <item x="249"/>
        <item x="150"/>
        <item x="35"/>
        <item x="173"/>
        <item x="99"/>
        <item x="268"/>
        <item x="389"/>
        <item x="327"/>
        <item x="467"/>
        <item x="180"/>
        <item x="227"/>
        <item x="89"/>
        <item x="172"/>
        <item x="224"/>
        <item x="348"/>
        <item x="187"/>
        <item x="19"/>
        <item x="49"/>
        <item x="294"/>
        <item x="203"/>
        <item x="152"/>
        <item x="12"/>
        <item x="92"/>
        <item x="351"/>
        <item x="96"/>
        <item x="404"/>
        <item x="464"/>
        <item x="358"/>
        <item x="378"/>
        <item x="388"/>
        <item x="133"/>
        <item x="400"/>
        <item x="277"/>
        <item x="424"/>
        <item x="407"/>
        <item x="269"/>
        <item x="118"/>
        <item x="258"/>
        <item x="373"/>
        <item x="244"/>
        <item x="23"/>
        <item x="458"/>
        <item x="83"/>
        <item x="156"/>
        <item x="66"/>
        <item x="60"/>
        <item x="437"/>
        <item x="241"/>
        <item x="135"/>
        <item x="353"/>
        <item x="232"/>
        <item x="102"/>
        <item x="383"/>
        <item x="185"/>
        <item x="283"/>
        <item x="425"/>
        <item x="181"/>
        <item x="431"/>
        <item x="58"/>
        <item x="332"/>
        <item x="120"/>
        <item x="449"/>
        <item x="145"/>
        <item x="242"/>
        <item x="402"/>
        <item x="314"/>
        <item x="93"/>
        <item x="254"/>
        <item x="110"/>
        <item x="216"/>
        <item x="65"/>
        <item x="27"/>
        <item x="364"/>
        <item x="165"/>
        <item x="77"/>
        <item x="155"/>
        <item x="469"/>
        <item x="251"/>
        <item x="476"/>
        <item x="76"/>
        <item x="307"/>
        <item x="163"/>
        <item x="212"/>
        <item x="377"/>
        <item x="122"/>
        <item x="466"/>
        <item x="170"/>
        <item x="64"/>
        <item x="472"/>
        <item x="114"/>
        <item x="273"/>
        <item x="479"/>
        <item x="484"/>
        <item x="56"/>
        <item x="290"/>
        <item x="471"/>
        <item x="328"/>
        <item x="443"/>
        <item x="177"/>
        <item x="300"/>
        <item x="194"/>
        <item x="223"/>
        <item x="248"/>
        <item x="444"/>
        <item x="176"/>
        <item x="324"/>
        <item x="137"/>
        <item x="230"/>
        <item x="280"/>
        <item x="229"/>
        <item x="80"/>
        <item x="323"/>
        <item x="6"/>
        <item x="341"/>
        <item x="422"/>
        <item x="266"/>
        <item x="399"/>
        <item x="278"/>
        <item x="412"/>
        <item x="374"/>
        <item x="7"/>
        <item x="459"/>
        <item x="410"/>
        <item x="113"/>
        <item x="81"/>
        <item x="275"/>
        <item x="381"/>
        <item x="380"/>
        <item x="204"/>
        <item x="347"/>
        <item x="211"/>
        <item x="363"/>
        <item x="67"/>
        <item x="430"/>
        <item x="480"/>
        <item x="321"/>
        <item x="78"/>
        <item x="338"/>
        <item x="438"/>
        <item x="218"/>
        <item x="313"/>
        <item x="297"/>
        <item x="311"/>
        <item x="293"/>
        <item x="109"/>
        <item x="362"/>
        <item x="202"/>
        <item x="62"/>
        <item x="10"/>
        <item x="398"/>
        <item x="18"/>
        <item x="205"/>
        <item x="101"/>
        <item x="288"/>
        <item x="116"/>
        <item x="405"/>
        <item x="243"/>
        <item x="26"/>
        <item x="33"/>
        <item x="346"/>
        <item x="257"/>
        <item x="74"/>
        <item x="298"/>
        <item x="440"/>
        <item x="40"/>
        <item x="365"/>
        <item x="316"/>
        <item x="207"/>
        <item x="335"/>
        <item x="281"/>
        <item x="270"/>
        <item x="73"/>
        <item x="441"/>
        <item x="160"/>
        <item x="15"/>
        <item x="75"/>
        <item x="376"/>
        <item x="473"/>
        <item x="72"/>
        <item x="415"/>
        <item x="9"/>
        <item x="315"/>
        <item x="299"/>
        <item x="136"/>
        <item x="369"/>
        <item x="186"/>
        <item x="272"/>
        <item x="343"/>
        <item x="236"/>
        <item x="360"/>
        <item x="94"/>
        <item x="312"/>
        <item x="182"/>
        <item x="420"/>
        <item x="385"/>
        <item x="11"/>
        <item x="8"/>
        <item x="446"/>
        <item x="123"/>
        <item x="485"/>
        <item x="45"/>
        <item x="462"/>
        <item x="199"/>
        <item x="57"/>
        <item x="265"/>
        <item x="2"/>
        <item x="184"/>
        <item x="359"/>
        <item x="357"/>
        <item x="486"/>
        <item x="222"/>
        <item x="188"/>
        <item x="423"/>
        <item x="141"/>
        <item x="474"/>
        <item x="391"/>
        <item x="20"/>
        <item x="309"/>
        <item x="345"/>
        <item x="105"/>
        <item x="51"/>
        <item x="174"/>
        <item x="162"/>
        <item x="121"/>
        <item x="403"/>
        <item x="451"/>
        <item x="166"/>
        <item x="138"/>
        <item x="349"/>
        <item x="1"/>
        <item x="330"/>
        <item x="107"/>
        <item x="87"/>
        <item x="450"/>
        <item x="379"/>
        <item x="149"/>
        <item x="447"/>
        <item x="304"/>
        <item x="396"/>
        <item x="71"/>
        <item x="477"/>
        <item x="36"/>
        <item x="413"/>
        <item x="350"/>
        <item x="482"/>
        <item x="86"/>
        <item x="5"/>
        <item x="433"/>
        <item x="4"/>
        <item x="344"/>
        <item x="256"/>
        <item x="382"/>
        <item x="127"/>
        <item x="460"/>
        <item x="274"/>
        <item x="34"/>
        <item x="432"/>
        <item x="209"/>
        <item x="285"/>
        <item x="417"/>
        <item x="445"/>
        <item x="50"/>
        <item x="0"/>
        <item x="342"/>
        <item x="168"/>
        <item x="296"/>
        <item x="246"/>
        <item x="262"/>
        <item x="183"/>
        <item x="356"/>
        <item x="97"/>
        <item x="339"/>
        <item x="196"/>
        <item x="282"/>
        <item x="384"/>
        <item x="22"/>
        <item x="271"/>
        <item x="245"/>
        <item x="394"/>
        <item x="234"/>
        <item x="111"/>
        <item x="108"/>
        <item x="325"/>
        <item x="193"/>
        <item x="14"/>
        <item x="320"/>
        <item x="463"/>
        <item x="85"/>
        <item x="260"/>
        <item x="406"/>
        <item x="128"/>
        <item x="284"/>
        <item x="42"/>
        <item x="390"/>
        <item x="238"/>
        <item x="91"/>
        <item x="453"/>
        <item x="220"/>
        <item x="231"/>
        <item x="289"/>
        <item x="267"/>
        <item x="331"/>
        <item x="28"/>
        <item x="37"/>
        <item x="159"/>
        <item x="239"/>
        <item x="32"/>
        <item x="178"/>
        <item x="206"/>
        <item x="261"/>
        <item x="439"/>
        <item x="17"/>
        <item x="191"/>
        <item x="322"/>
        <item x="84"/>
        <item x="13"/>
        <item x="483"/>
        <item x="69"/>
        <item x="233"/>
        <item x="276"/>
        <item x="52"/>
        <item x="426"/>
        <item x="61"/>
        <item x="16"/>
        <item x="411"/>
        <item x="401"/>
        <item x="429"/>
        <item x="179"/>
        <item x="395"/>
        <item x="189"/>
        <item t="default"/>
      </items>
    </pivotField>
    <pivotField numFmtId="1" showAll="0"/>
    <pivotField showAll="0">
      <items count="6">
        <item x="0"/>
        <item x="3"/>
        <item x="4"/>
        <item x="2"/>
        <item x="1"/>
        <item t="default"/>
      </items>
    </pivotField>
    <pivotField showAll="0">
      <items count="3">
        <item h="1" x="1"/>
        <item x="0"/>
        <item t="default"/>
      </items>
    </pivotField>
    <pivotField numFmtId="166" showAll="0"/>
    <pivotField showAll="0"/>
    <pivotField numFmtId="164" showAll="0">
      <items count="501">
        <item x="379"/>
        <item x="186"/>
        <item x="405"/>
        <item x="374"/>
        <item x="271"/>
        <item x="447"/>
        <item x="359"/>
        <item x="390"/>
        <item x="417"/>
        <item x="446"/>
        <item x="324"/>
        <item x="266"/>
        <item x="356"/>
        <item x="148"/>
        <item x="469"/>
        <item x="357"/>
        <item x="280"/>
        <item x="404"/>
        <item x="470"/>
        <item x="9"/>
        <item x="286"/>
        <item x="232"/>
        <item x="481"/>
        <item x="291"/>
        <item x="253"/>
        <item x="17"/>
        <item x="227"/>
        <item x="377"/>
        <item x="214"/>
        <item x="258"/>
        <item x="201"/>
        <item x="415"/>
        <item x="301"/>
        <item x="122"/>
        <item x="421"/>
        <item x="114"/>
        <item x="412"/>
        <item x="134"/>
        <item x="249"/>
        <item x="401"/>
        <item x="90"/>
        <item x="2"/>
        <item x="362"/>
        <item x="91"/>
        <item x="156"/>
        <item x="41"/>
        <item x="68"/>
        <item x="7"/>
        <item x="56"/>
        <item x="149"/>
        <item x="339"/>
        <item x="30"/>
        <item x="106"/>
        <item x="395"/>
        <item x="380"/>
        <item x="300"/>
        <item x="248"/>
        <item x="1"/>
        <item x="424"/>
        <item x="79"/>
        <item x="287"/>
        <item x="288"/>
        <item x="328"/>
        <item x="351"/>
        <item x="310"/>
        <item x="212"/>
        <item x="434"/>
        <item x="161"/>
        <item x="391"/>
        <item x="87"/>
        <item x="183"/>
        <item x="5"/>
        <item x="365"/>
        <item x="490"/>
        <item x="338"/>
        <item x="143"/>
        <item x="231"/>
        <item x="199"/>
        <item x="499"/>
        <item x="491"/>
        <item x="487"/>
        <item x="471"/>
        <item x="37"/>
        <item x="334"/>
        <item x="238"/>
        <item x="346"/>
        <item x="277"/>
        <item x="18"/>
        <item x="332"/>
        <item x="190"/>
        <item x="93"/>
        <item x="496"/>
        <item x="62"/>
        <item x="8"/>
        <item x="296"/>
        <item x="396"/>
        <item x="151"/>
        <item x="77"/>
        <item x="89"/>
        <item x="323"/>
        <item x="188"/>
        <item x="192"/>
        <item x="164"/>
        <item x="101"/>
        <item x="196"/>
        <item x="408"/>
        <item x="15"/>
        <item x="63"/>
        <item x="322"/>
        <item x="318"/>
        <item x="432"/>
        <item x="121"/>
        <item x="495"/>
        <item x="207"/>
        <item x="451"/>
        <item x="414"/>
        <item x="267"/>
        <item x="65"/>
        <item x="383"/>
        <item x="70"/>
        <item x="173"/>
        <item x="455"/>
        <item x="381"/>
        <item x="119"/>
        <item x="305"/>
        <item x="46"/>
        <item x="497"/>
        <item x="275"/>
        <item x="204"/>
        <item x="354"/>
        <item x="39"/>
        <item x="259"/>
        <item x="45"/>
        <item x="245"/>
        <item x="171"/>
        <item x="411"/>
        <item x="69"/>
        <item x="225"/>
        <item x="298"/>
        <item x="100"/>
        <item x="226"/>
        <item x="220"/>
        <item x="67"/>
        <item x="211"/>
        <item x="397"/>
        <item x="21"/>
        <item x="34"/>
        <item x="154"/>
        <item x="215"/>
        <item x="270"/>
        <item x="64"/>
        <item x="367"/>
        <item x="142"/>
        <item x="303"/>
        <item x="233"/>
        <item x="468"/>
        <item x="71"/>
        <item x="399"/>
        <item x="153"/>
        <item x="419"/>
        <item x="98"/>
        <item x="129"/>
        <item x="263"/>
        <item x="341"/>
        <item x="420"/>
        <item x="331"/>
        <item x="177"/>
        <item x="11"/>
        <item x="222"/>
        <item x="167"/>
        <item x="242"/>
        <item x="418"/>
        <item x="12"/>
        <item x="88"/>
        <item x="463"/>
        <item x="237"/>
        <item x="317"/>
        <item x="33"/>
        <item x="427"/>
        <item x="372"/>
        <item x="169"/>
        <item x="440"/>
        <item x="464"/>
        <item x="198"/>
        <item x="66"/>
        <item x="467"/>
        <item x="172"/>
        <item x="342"/>
        <item x="189"/>
        <item x="329"/>
        <item x="3"/>
        <item x="330"/>
        <item x="229"/>
        <item x="476"/>
        <item x="448"/>
        <item x="99"/>
        <item x="210"/>
        <item x="349"/>
        <item x="369"/>
        <item x="293"/>
        <item x="437"/>
        <item x="230"/>
        <item x="14"/>
        <item x="48"/>
        <item x="126"/>
        <item x="175"/>
        <item x="38"/>
        <item x="219"/>
        <item x="74"/>
        <item x="112"/>
        <item x="461"/>
        <item x="51"/>
        <item x="350"/>
        <item x="348"/>
        <item x="42"/>
        <item x="426"/>
        <item x="375"/>
        <item x="413"/>
        <item x="278"/>
        <item x="327"/>
        <item x="240"/>
        <item x="433"/>
        <item x="47"/>
        <item x="206"/>
        <item x="313"/>
        <item x="176"/>
        <item x="247"/>
        <item x="283"/>
        <item x="345"/>
        <item x="294"/>
        <item x="138"/>
        <item x="133"/>
        <item x="141"/>
        <item x="185"/>
        <item x="452"/>
        <item x="358"/>
        <item x="400"/>
        <item x="376"/>
        <item x="146"/>
        <item x="265"/>
        <item x="243"/>
        <item x="394"/>
        <item x="81"/>
        <item x="416"/>
        <item x="482"/>
        <item x="360"/>
        <item x="163"/>
        <item x="160"/>
        <item x="241"/>
        <item x="428"/>
        <item x="76"/>
        <item x="302"/>
        <item x="403"/>
        <item x="35"/>
        <item x="344"/>
        <item x="165"/>
        <item x="50"/>
        <item x="457"/>
        <item x="361"/>
        <item x="262"/>
        <item x="193"/>
        <item x="402"/>
        <item x="325"/>
        <item x="110"/>
        <item x="195"/>
        <item x="139"/>
        <item x="493"/>
        <item x="113"/>
        <item x="489"/>
        <item x="36"/>
        <item x="473"/>
        <item x="32"/>
        <item x="273"/>
        <item x="223"/>
        <item x="304"/>
        <item x="162"/>
        <item x="24"/>
        <item x="84"/>
        <item x="388"/>
        <item x="181"/>
        <item x="244"/>
        <item x="252"/>
        <item x="43"/>
        <item x="308"/>
        <item x="492"/>
        <item x="228"/>
        <item x="384"/>
        <item x="460"/>
        <item x="132"/>
        <item x="182"/>
        <item x="125"/>
        <item x="453"/>
        <item x="27"/>
        <item x="78"/>
        <item x="102"/>
        <item x="123"/>
        <item x="335"/>
        <item x="53"/>
        <item x="137"/>
        <item x="269"/>
        <item x="274"/>
        <item x="441"/>
        <item x="264"/>
        <item x="385"/>
        <item x="486"/>
        <item x="321"/>
        <item x="80"/>
        <item x="136"/>
        <item x="96"/>
        <item x="73"/>
        <item x="86"/>
        <item x="431"/>
        <item x="366"/>
        <item x="458"/>
        <item x="29"/>
        <item x="205"/>
        <item x="407"/>
        <item x="477"/>
        <item x="19"/>
        <item x="108"/>
        <item x="191"/>
        <item x="436"/>
        <item x="474"/>
        <item x="406"/>
        <item x="439"/>
        <item x="144"/>
        <item x="209"/>
        <item x="131"/>
        <item x="203"/>
        <item x="57"/>
        <item x="170"/>
        <item x="393"/>
        <item x="213"/>
        <item x="25"/>
        <item x="23"/>
        <item x="187"/>
        <item x="355"/>
        <item x="250"/>
        <item x="128"/>
        <item x="155"/>
        <item x="168"/>
        <item x="135"/>
        <item x="485"/>
        <item x="387"/>
        <item x="103"/>
        <item x="208"/>
        <item x="340"/>
        <item x="429"/>
        <item x="166"/>
        <item x="297"/>
        <item x="184"/>
        <item x="28"/>
        <item x="10"/>
        <item x="22"/>
        <item x="279"/>
        <item x="26"/>
        <item x="442"/>
        <item x="127"/>
        <item x="480"/>
        <item x="58"/>
        <item x="443"/>
        <item x="422"/>
        <item x="104"/>
        <item x="276"/>
        <item x="392"/>
        <item x="140"/>
        <item x="217"/>
        <item x="307"/>
        <item x="221"/>
        <item x="371"/>
        <item x="218"/>
        <item x="115"/>
        <item x="40"/>
        <item x="117"/>
        <item x="353"/>
        <item x="178"/>
        <item x="257"/>
        <item x="16"/>
        <item x="282"/>
        <item x="52"/>
        <item x="315"/>
        <item x="236"/>
        <item x="72"/>
        <item x="326"/>
        <item x="157"/>
        <item x="475"/>
        <item x="309"/>
        <item x="306"/>
        <item x="347"/>
        <item x="145"/>
        <item x="124"/>
        <item x="261"/>
        <item x="54"/>
        <item x="459"/>
        <item x="456"/>
        <item x="454"/>
        <item x="75"/>
        <item x="364"/>
        <item x="311"/>
        <item x="295"/>
        <item x="450"/>
        <item x="290"/>
        <item x="92"/>
        <item x="410"/>
        <item x="60"/>
        <item x="284"/>
        <item x="449"/>
        <item x="44"/>
        <item x="292"/>
        <item x="425"/>
        <item x="158"/>
        <item x="94"/>
        <item x="281"/>
        <item x="20"/>
        <item x="333"/>
        <item x="498"/>
        <item x="97"/>
        <item x="120"/>
        <item x="398"/>
        <item x="445"/>
        <item x="116"/>
        <item x="409"/>
        <item x="235"/>
        <item x="370"/>
        <item x="423"/>
        <item x="382"/>
        <item x="312"/>
        <item x="61"/>
        <item x="363"/>
        <item x="285"/>
        <item x="438"/>
        <item x="479"/>
        <item x="268"/>
        <item x="152"/>
        <item x="179"/>
        <item x="478"/>
        <item x="130"/>
        <item x="299"/>
        <item x="216"/>
        <item x="314"/>
        <item x="159"/>
        <item x="444"/>
        <item x="246"/>
        <item x="83"/>
        <item x="483"/>
        <item x="466"/>
        <item x="224"/>
        <item x="49"/>
        <item x="13"/>
        <item x="107"/>
        <item x="150"/>
        <item x="435"/>
        <item x="0"/>
        <item x="272"/>
        <item x="109"/>
        <item x="147"/>
        <item x="55"/>
        <item x="343"/>
        <item x="260"/>
        <item x="256"/>
        <item x="352"/>
        <item x="386"/>
        <item x="251"/>
        <item x="254"/>
        <item x="105"/>
        <item x="180"/>
        <item x="320"/>
        <item x="111"/>
        <item x="174"/>
        <item x="462"/>
        <item x="239"/>
        <item x="85"/>
        <item x="234"/>
        <item x="95"/>
        <item x="430"/>
        <item x="31"/>
        <item x="484"/>
        <item x="368"/>
        <item x="465"/>
        <item x="4"/>
        <item x="389"/>
        <item x="316"/>
        <item x="194"/>
        <item x="378"/>
        <item x="59"/>
        <item x="319"/>
        <item x="494"/>
        <item x="200"/>
        <item x="197"/>
        <item x="337"/>
        <item x="472"/>
        <item x="336"/>
        <item x="289"/>
        <item x="6"/>
        <item x="82"/>
        <item x="202"/>
        <item x="118"/>
        <item x="255"/>
        <item x="488"/>
        <item x="373"/>
        <item t="default"/>
      </items>
    </pivotField>
    <pivotField axis="axisCol" showAll="0">
      <items count="4">
        <item x="2"/>
        <item x="0"/>
        <item x="1"/>
        <item t="default"/>
      </items>
    </pivotField>
    <pivotField showAll="0">
      <items count="4">
        <item x="1"/>
        <item x="0"/>
        <item x="2"/>
        <item t="default"/>
      </items>
    </pivotField>
  </pivotFields>
  <rowItems count="1">
    <i/>
  </rowItems>
  <colFields count="1">
    <field x="8"/>
  </colFields>
  <colItems count="4">
    <i>
      <x/>
    </i>
    <i>
      <x v="1"/>
    </i>
    <i>
      <x v="2"/>
    </i>
    <i t="grand">
      <x/>
    </i>
  </colItems>
  <dataFields count="1">
    <dataField name="Count of Index" fld="0" subtotal="count" baseField="0" baseItem="0"/>
  </dataFields>
  <chartFormats count="11">
    <chartFormat chart="12" format="0" series="1">
      <pivotArea type="data" outline="0" fieldPosition="0">
        <references count="2">
          <reference field="4294967294" count="1" selected="0">
            <x v="0"/>
          </reference>
          <reference field="8" count="1" selected="0">
            <x v="0"/>
          </reference>
        </references>
      </pivotArea>
    </chartFormat>
    <chartFormat chart="12" format="1" series="1">
      <pivotArea type="data" outline="0" fieldPosition="0">
        <references count="2">
          <reference field="4294967294" count="1" selected="0">
            <x v="0"/>
          </reference>
          <reference field="8" count="1" selected="0">
            <x v="1"/>
          </reference>
        </references>
      </pivotArea>
    </chartFormat>
    <chartFormat chart="12" format="2" series="1">
      <pivotArea type="data" outline="0" fieldPosition="0">
        <references count="2">
          <reference field="4294967294" count="1" selected="0">
            <x v="0"/>
          </reference>
          <reference field="8" count="1" selected="0">
            <x v="2"/>
          </reference>
        </references>
      </pivotArea>
    </chartFormat>
    <chartFormat chart="13" format="3" series="1">
      <pivotArea type="data" outline="0" fieldPosition="0">
        <references count="2">
          <reference field="4294967294" count="1" selected="0">
            <x v="0"/>
          </reference>
          <reference field="8" count="1" selected="0">
            <x v="0"/>
          </reference>
        </references>
      </pivotArea>
    </chartFormat>
    <chartFormat chart="13" format="4" series="1">
      <pivotArea type="data" outline="0" fieldPosition="0">
        <references count="2">
          <reference field="4294967294" count="1" selected="0">
            <x v="0"/>
          </reference>
          <reference field="8" count="1" selected="0">
            <x v="1"/>
          </reference>
        </references>
      </pivotArea>
    </chartFormat>
    <chartFormat chart="13" format="5" series="1">
      <pivotArea type="data" outline="0" fieldPosition="0">
        <references count="2">
          <reference field="4294967294" count="1" selected="0">
            <x v="0"/>
          </reference>
          <reference field="8" count="1" selected="0">
            <x v="2"/>
          </reference>
        </references>
      </pivotArea>
    </chartFormat>
    <chartFormat chart="14" format="6" series="1">
      <pivotArea type="data" outline="0" fieldPosition="0">
        <references count="2">
          <reference field="4294967294" count="1" selected="0">
            <x v="0"/>
          </reference>
          <reference field="8" count="1" selected="0">
            <x v="0"/>
          </reference>
        </references>
      </pivotArea>
    </chartFormat>
    <chartFormat chart="14" format="7" series="1">
      <pivotArea type="data" outline="0" fieldPosition="0">
        <references count="2">
          <reference field="4294967294" count="1" selected="0">
            <x v="0"/>
          </reference>
          <reference field="8" count="1" selected="0">
            <x v="1"/>
          </reference>
        </references>
      </pivotArea>
    </chartFormat>
    <chartFormat chart="14" format="8" series="1">
      <pivotArea type="data" outline="0" fieldPosition="0">
        <references count="2">
          <reference field="4294967294" count="1" selected="0">
            <x v="0"/>
          </reference>
          <reference field="8" count="1" selected="0">
            <x v="2"/>
          </reference>
        </references>
      </pivotArea>
    </chartFormat>
    <chartFormat chart="14" format="9"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7C0AFDD-1FEB-4BEE-901A-B52BF86492D6}" sourceName="Department">
  <pivotTables>
    <pivotTable tabId="9" name="PivotTable1"/>
    <pivotTable tabId="9" name="PivotTable2"/>
    <pivotTable tabId="9" name="PivotTable3"/>
    <pivotTable tabId="9" name="PivotTable4"/>
    <pivotTable tabId="9" name="PivotTable7"/>
    <pivotTable tabId="9" name="PivotTable5"/>
    <pivotTable tabId="9" name="PivotTable6"/>
  </pivotTables>
  <data>
    <tabular pivotCacheId="1170315943">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6D5E092B-4103-4A51-B675-39E09715D5F7}" sourceName="Age Group">
  <pivotTables>
    <pivotTable tabId="9" name="PivotTable1"/>
    <pivotTable tabId="9" name="PivotTable2"/>
    <pivotTable tabId="9" name="PivotTable3"/>
    <pivotTable tabId="9" name="PivotTable4"/>
    <pivotTable tabId="9" name="PivotTable5"/>
    <pivotTable tabId="9" name="PivotTable7"/>
    <pivotTable tabId="9" name="PivotTable6"/>
  </pivotTables>
  <data>
    <tabular pivotCacheId="1170315943">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Manager" xr10:uid="{82EAD9CF-437C-406B-B38E-37CFB6AAA90E}" sourceName="Is_Manager">
  <pivotTables>
    <pivotTable tabId="9" name="PivotTable2"/>
    <pivotTable tabId="9" name="PivotTable1"/>
    <pivotTable tabId="9" name="PivotTable3"/>
    <pivotTable tabId="9" name="PivotTable4"/>
    <pivotTable tabId="9" name="PivotTable5"/>
    <pivotTable tabId="9" name="PivotTable7"/>
    <pivotTable tabId="9" name="PivotTable6"/>
  </pivotTables>
  <data>
    <tabular pivotCacheId="1170315943">
      <items count="2">
        <i x="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Group" xr10:uid="{DB28222D-3527-4979-B3D3-7EC5E30E2275}" sourceName="Salary Group">
  <pivotTables>
    <pivotTable tabId="9" name="PivotTable1"/>
    <pivotTable tabId="9" name="PivotTable2"/>
    <pivotTable tabId="9" name="PivotTable3"/>
    <pivotTable tabId="9" name="PivotTable4"/>
    <pivotTable tabId="9" name="PivotTable5"/>
    <pivotTable tabId="9" name="PivotTable7"/>
    <pivotTable tabId="9" name="PivotTable6"/>
  </pivotTables>
  <data>
    <tabular pivotCacheId="117031594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F35770D-B25C-4781-9FD9-178A08CBB54B}" cache="Slicer_Department" caption="Department" rowHeight="241300"/>
  <slicer name="Age Group" xr10:uid="{783A5E51-3F9A-454B-A7C0-86C155E186DA}" cache="Slicer_Age_Group" caption="Age Group" rowHeight="241300"/>
  <slicer name="Is_Manager" xr10:uid="{6037AE16-AA2C-4D38-96C8-9AB85F014871}" cache="Slicer_Is_Manager" caption="Is_Manag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42B667C7-1263-444D-B0EC-65E373258C70}" cache="Slicer_Department" caption="Department" columnCount="5" style="Slicer Style 1" rowHeight="241300"/>
  <slicer name="Age Group 1" xr10:uid="{3700FB65-4A64-40DD-B1C6-029FA884352D}" cache="Slicer_Age_Group" caption="Age Group" columnCount="3" style="Slicer Style 1" rowHeight="241300"/>
  <slicer name="Is_Manager 1" xr10:uid="{BC3A80A8-9C03-449D-ADD9-F9CC60D37CF8}" cache="Slicer_Is_Manager" caption="Is_Manager" columnCount="2" style="Slicer Style 1" rowHeight="241300"/>
  <slicer name="Salary Group" xr10:uid="{CA45F579-07E4-45D9-82F3-C86CE76C19AC}" cache="Slicer_Salary_Group" caption="Salary Group" columnCount="3"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workbookViewId="0">
      <selection activeCell="E9" sqref="E9"/>
    </sheetView>
  </sheetViews>
  <sheetFormatPr defaultRowHeight="15" x14ac:dyDescent="0.25"/>
  <cols>
    <col min="1" max="1" width="5.42578125" bestFit="1" customWidth="1"/>
    <col min="2" max="2" width="11.85546875" bestFit="1" customWidth="1"/>
    <col min="3" max="3" width="3.85546875" bestFit="1" customWidth="1"/>
    <col min="4" max="4" width="10.85546875" bestFit="1" customWidth="1"/>
    <col min="5" max="5" width="10.5703125" bestFit="1" customWidth="1"/>
    <col min="6" max="6" width="10.42578125" bestFit="1" customWidth="1"/>
    <col min="7" max="7" width="9.85546875" bestFit="1" customWidth="1"/>
    <col min="8" max="8" width="6.85546875" bestFit="1" customWidth="1"/>
  </cols>
  <sheetData>
    <row r="1" spans="1:8" x14ac:dyDescent="0.25">
      <c r="A1" t="s">
        <v>0</v>
      </c>
      <c r="B1" t="s">
        <v>1</v>
      </c>
      <c r="C1" t="s">
        <v>2</v>
      </c>
      <c r="D1" t="s">
        <v>3</v>
      </c>
      <c r="E1" t="s">
        <v>4</v>
      </c>
      <c r="F1" t="s">
        <v>5</v>
      </c>
      <c r="G1" t="s">
        <v>6</v>
      </c>
      <c r="H1" t="s">
        <v>7</v>
      </c>
    </row>
    <row r="2" spans="1:8" x14ac:dyDescent="0.25">
      <c r="A2">
        <v>0</v>
      </c>
      <c r="B2">
        <v>8794</v>
      </c>
      <c r="C2">
        <v>60</v>
      </c>
      <c r="D2" t="s">
        <v>8</v>
      </c>
      <c r="E2" t="b">
        <v>0</v>
      </c>
      <c r="F2" t="s">
        <v>9</v>
      </c>
      <c r="G2">
        <v>30</v>
      </c>
      <c r="H2">
        <v>238668</v>
      </c>
    </row>
    <row r="3" spans="1:8" x14ac:dyDescent="0.25">
      <c r="A3">
        <v>1</v>
      </c>
      <c r="B3">
        <v>8222</v>
      </c>
      <c r="C3">
        <v>28</v>
      </c>
      <c r="D3" t="s">
        <v>10</v>
      </c>
      <c r="E3" t="b">
        <v>1</v>
      </c>
      <c r="F3" s="1">
        <v>29079</v>
      </c>
      <c r="G3">
        <v>13</v>
      </c>
      <c r="H3">
        <v>105995</v>
      </c>
    </row>
    <row r="4" spans="1:8" x14ac:dyDescent="0.25">
      <c r="A4">
        <v>2</v>
      </c>
      <c r="B4">
        <v>7643</v>
      </c>
      <c r="C4">
        <v>30</v>
      </c>
      <c r="D4" t="s">
        <v>11</v>
      </c>
      <c r="E4" t="b">
        <v>0</v>
      </c>
      <c r="F4" t="s">
        <v>12</v>
      </c>
      <c r="G4">
        <v>11</v>
      </c>
      <c r="H4">
        <v>96120</v>
      </c>
    </row>
    <row r="5" spans="1:8" x14ac:dyDescent="0.25">
      <c r="A5">
        <v>3</v>
      </c>
      <c r="B5">
        <v>2737</v>
      </c>
      <c r="C5">
        <v>38</v>
      </c>
      <c r="D5" t="s">
        <v>13</v>
      </c>
      <c r="E5" t="b">
        <v>1</v>
      </c>
      <c r="F5" t="s">
        <v>14</v>
      </c>
      <c r="G5">
        <v>20</v>
      </c>
      <c r="H5">
        <v>153525</v>
      </c>
    </row>
    <row r="6" spans="1:8" x14ac:dyDescent="0.25">
      <c r="A6">
        <v>4</v>
      </c>
      <c r="B6">
        <v>8557</v>
      </c>
      <c r="C6">
        <v>61</v>
      </c>
      <c r="D6" t="s">
        <v>13</v>
      </c>
      <c r="E6" t="b">
        <v>1</v>
      </c>
      <c r="F6" s="1">
        <v>27982</v>
      </c>
      <c r="G6">
        <v>31</v>
      </c>
      <c r="H6">
        <v>249192</v>
      </c>
    </row>
    <row r="7" spans="1:8" x14ac:dyDescent="0.25">
      <c r="A7">
        <v>5</v>
      </c>
      <c r="B7">
        <v>8484</v>
      </c>
      <c r="C7">
        <v>31</v>
      </c>
      <c r="D7" t="s">
        <v>11</v>
      </c>
      <c r="E7" t="b">
        <v>0</v>
      </c>
      <c r="F7" s="1">
        <v>30138</v>
      </c>
      <c r="G7">
        <v>14</v>
      </c>
      <c r="H7">
        <v>112443</v>
      </c>
    </row>
    <row r="8" spans="1:8" x14ac:dyDescent="0.25">
      <c r="A8">
        <v>6</v>
      </c>
      <c r="B8">
        <v>5854</v>
      </c>
      <c r="C8">
        <v>64</v>
      </c>
      <c r="D8" t="s">
        <v>8</v>
      </c>
      <c r="E8" t="b">
        <v>0</v>
      </c>
      <c r="F8" s="1">
        <v>29931</v>
      </c>
      <c r="G8">
        <v>33</v>
      </c>
      <c r="H8">
        <v>269150</v>
      </c>
    </row>
    <row r="9" spans="1:8" x14ac:dyDescent="0.25">
      <c r="A9">
        <v>7</v>
      </c>
      <c r="B9">
        <v>6012</v>
      </c>
      <c r="C9">
        <v>33</v>
      </c>
      <c r="D9" t="s">
        <v>8</v>
      </c>
      <c r="E9" t="b">
        <v>0</v>
      </c>
      <c r="F9" t="s">
        <v>15</v>
      </c>
      <c r="G9">
        <v>13</v>
      </c>
      <c r="H9">
        <v>99541</v>
      </c>
    </row>
    <row r="10" spans="1:8" x14ac:dyDescent="0.25">
      <c r="A10">
        <v>8</v>
      </c>
      <c r="B10">
        <v>7462</v>
      </c>
      <c r="C10">
        <v>34</v>
      </c>
      <c r="D10" t="s">
        <v>8</v>
      </c>
      <c r="E10" t="b">
        <v>0</v>
      </c>
      <c r="F10" t="s">
        <v>16</v>
      </c>
      <c r="G10">
        <v>15</v>
      </c>
      <c r="H10">
        <v>119128</v>
      </c>
    </row>
    <row r="11" spans="1:8" x14ac:dyDescent="0.25">
      <c r="A11">
        <v>9</v>
      </c>
      <c r="B11">
        <v>7276</v>
      </c>
      <c r="C11">
        <v>23</v>
      </c>
      <c r="D11" t="s">
        <v>8</v>
      </c>
      <c r="E11" t="b">
        <v>0</v>
      </c>
      <c r="F11" s="1">
        <v>41708</v>
      </c>
      <c r="G11">
        <v>11</v>
      </c>
      <c r="H11">
        <v>83249</v>
      </c>
    </row>
    <row r="12" spans="1:8" x14ac:dyDescent="0.25">
      <c r="A12">
        <v>10</v>
      </c>
      <c r="B12">
        <v>6621</v>
      </c>
      <c r="C12">
        <v>51</v>
      </c>
      <c r="D12" t="s">
        <v>17</v>
      </c>
      <c r="E12" t="b">
        <v>1</v>
      </c>
      <c r="F12" s="1">
        <v>27366</v>
      </c>
      <c r="G12">
        <v>26</v>
      </c>
      <c r="H12">
        <v>201259</v>
      </c>
    </row>
    <row r="13" spans="1:8" x14ac:dyDescent="0.25">
      <c r="A13">
        <v>11</v>
      </c>
      <c r="B13">
        <v>7461</v>
      </c>
      <c r="C13">
        <v>43</v>
      </c>
      <c r="D13" t="s">
        <v>17</v>
      </c>
      <c r="E13" t="b">
        <v>1</v>
      </c>
      <c r="F13" s="1">
        <v>33456</v>
      </c>
      <c r="G13">
        <v>17</v>
      </c>
      <c r="H13">
        <v>144477</v>
      </c>
    </row>
    <row r="14" spans="1:8" x14ac:dyDescent="0.25">
      <c r="A14">
        <v>12</v>
      </c>
      <c r="B14">
        <v>4181</v>
      </c>
      <c r="C14">
        <v>33</v>
      </c>
      <c r="D14" t="s">
        <v>8</v>
      </c>
      <c r="E14" t="b">
        <v>1</v>
      </c>
      <c r="F14" t="s">
        <v>18</v>
      </c>
      <c r="G14">
        <v>18</v>
      </c>
      <c r="H14">
        <v>148126</v>
      </c>
    </row>
    <row r="15" spans="1:8" x14ac:dyDescent="0.25">
      <c r="A15">
        <v>13</v>
      </c>
      <c r="B15">
        <v>9770</v>
      </c>
      <c r="C15">
        <v>64</v>
      </c>
      <c r="D15" t="s">
        <v>11</v>
      </c>
      <c r="E15" t="b">
        <v>0</v>
      </c>
      <c r="F15" s="1">
        <v>30871</v>
      </c>
      <c r="G15">
        <v>29</v>
      </c>
      <c r="H15">
        <v>237357</v>
      </c>
    </row>
    <row r="16" spans="1:8" x14ac:dyDescent="0.25">
      <c r="A16">
        <v>14</v>
      </c>
      <c r="B16">
        <v>9138</v>
      </c>
      <c r="C16">
        <v>41</v>
      </c>
      <c r="D16" t="s">
        <v>8</v>
      </c>
      <c r="E16" t="b">
        <v>1</v>
      </c>
      <c r="F16" t="s">
        <v>19</v>
      </c>
      <c r="G16">
        <v>19</v>
      </c>
      <c r="H16">
        <v>158446</v>
      </c>
    </row>
    <row r="17" spans="1:8" x14ac:dyDescent="0.25">
      <c r="A17">
        <v>15</v>
      </c>
      <c r="B17">
        <v>7182</v>
      </c>
      <c r="C17">
        <v>30</v>
      </c>
      <c r="D17" t="s">
        <v>11</v>
      </c>
      <c r="E17" t="b">
        <v>1</v>
      </c>
      <c r="F17" s="1">
        <v>30052</v>
      </c>
      <c r="G17">
        <v>15</v>
      </c>
      <c r="H17">
        <v>124601</v>
      </c>
    </row>
    <row r="18" spans="1:8" x14ac:dyDescent="0.25">
      <c r="A18">
        <v>16</v>
      </c>
      <c r="B18">
        <v>9901</v>
      </c>
      <c r="C18">
        <v>60</v>
      </c>
      <c r="D18" t="s">
        <v>17</v>
      </c>
      <c r="E18" t="b">
        <v>1</v>
      </c>
      <c r="F18" t="s">
        <v>20</v>
      </c>
      <c r="G18">
        <v>27</v>
      </c>
      <c r="H18">
        <v>209673</v>
      </c>
    </row>
    <row r="19" spans="1:8" x14ac:dyDescent="0.25">
      <c r="A19">
        <v>17</v>
      </c>
      <c r="B19">
        <v>9684</v>
      </c>
      <c r="C19">
        <v>25</v>
      </c>
      <c r="D19" t="s">
        <v>8</v>
      </c>
      <c r="E19" t="b">
        <v>0</v>
      </c>
      <c r="F19" t="s">
        <v>21</v>
      </c>
      <c r="G19">
        <v>11</v>
      </c>
      <c r="H19">
        <v>88325</v>
      </c>
    </row>
    <row r="20" spans="1:8" x14ac:dyDescent="0.25">
      <c r="A20">
        <v>18</v>
      </c>
      <c r="B20">
        <v>6645</v>
      </c>
      <c r="C20">
        <v>30</v>
      </c>
      <c r="D20" t="s">
        <v>11</v>
      </c>
      <c r="E20" t="b">
        <v>0</v>
      </c>
      <c r="F20" s="1">
        <v>37292</v>
      </c>
      <c r="G20">
        <v>14</v>
      </c>
      <c r="H20">
        <v>117761</v>
      </c>
    </row>
    <row r="21" spans="1:8" x14ac:dyDescent="0.25">
      <c r="A21">
        <v>19</v>
      </c>
      <c r="B21">
        <v>4049</v>
      </c>
      <c r="C21">
        <v>45</v>
      </c>
      <c r="D21" t="s">
        <v>17</v>
      </c>
      <c r="E21" t="b">
        <v>1</v>
      </c>
      <c r="F21" s="1">
        <v>33857</v>
      </c>
      <c r="G21">
        <v>24</v>
      </c>
      <c r="H21">
        <v>193695</v>
      </c>
    </row>
    <row r="22" spans="1:8" x14ac:dyDescent="0.25">
      <c r="A22">
        <v>20</v>
      </c>
      <c r="B22">
        <v>7857</v>
      </c>
      <c r="C22">
        <v>56</v>
      </c>
      <c r="D22" t="s">
        <v>8</v>
      </c>
      <c r="E22" t="b">
        <v>1</v>
      </c>
      <c r="F22" t="s">
        <v>22</v>
      </c>
      <c r="G22">
        <v>27</v>
      </c>
      <c r="H22">
        <v>223718</v>
      </c>
    </row>
    <row r="23" spans="1:8" x14ac:dyDescent="0.25">
      <c r="A23">
        <v>21</v>
      </c>
      <c r="B23">
        <v>3757</v>
      </c>
      <c r="C23">
        <v>32</v>
      </c>
      <c r="D23" t="s">
        <v>8</v>
      </c>
      <c r="E23" t="b">
        <v>1</v>
      </c>
      <c r="F23" t="s">
        <v>23</v>
      </c>
      <c r="G23">
        <v>16</v>
      </c>
      <c r="H23">
        <v>136877</v>
      </c>
    </row>
    <row r="24" spans="1:8" x14ac:dyDescent="0.25">
      <c r="A24">
        <v>22</v>
      </c>
      <c r="B24">
        <v>9062</v>
      </c>
      <c r="C24">
        <v>49</v>
      </c>
      <c r="D24" t="s">
        <v>10</v>
      </c>
      <c r="E24" t="b">
        <v>1</v>
      </c>
      <c r="F24" t="s">
        <v>24</v>
      </c>
      <c r="G24">
        <v>24</v>
      </c>
      <c r="H24">
        <v>201355</v>
      </c>
    </row>
    <row r="25" spans="1:8" x14ac:dyDescent="0.25">
      <c r="A25">
        <v>23</v>
      </c>
      <c r="B25">
        <v>4459</v>
      </c>
      <c r="C25">
        <v>52</v>
      </c>
      <c r="D25" t="s">
        <v>13</v>
      </c>
      <c r="E25" t="b">
        <v>0</v>
      </c>
      <c r="F25" s="1">
        <v>41979</v>
      </c>
      <c r="G25">
        <v>25</v>
      </c>
      <c r="H25">
        <v>197155</v>
      </c>
    </row>
    <row r="26" spans="1:8" x14ac:dyDescent="0.25">
      <c r="A26">
        <v>24</v>
      </c>
      <c r="B26">
        <v>2444</v>
      </c>
      <c r="C26">
        <v>43</v>
      </c>
      <c r="D26" t="s">
        <v>17</v>
      </c>
      <c r="E26" t="b">
        <v>1</v>
      </c>
      <c r="F26" t="s">
        <v>25</v>
      </c>
      <c r="G26">
        <v>22</v>
      </c>
      <c r="H26">
        <v>181254</v>
      </c>
    </row>
    <row r="27" spans="1:8" x14ac:dyDescent="0.25">
      <c r="A27">
        <v>25</v>
      </c>
      <c r="B27">
        <v>3005</v>
      </c>
      <c r="C27">
        <v>56</v>
      </c>
      <c r="D27" t="s">
        <v>10</v>
      </c>
      <c r="E27" t="b">
        <v>1</v>
      </c>
      <c r="F27" t="s">
        <v>26</v>
      </c>
      <c r="G27">
        <v>24</v>
      </c>
      <c r="H27">
        <v>197009</v>
      </c>
    </row>
    <row r="28" spans="1:8" x14ac:dyDescent="0.25">
      <c r="A28">
        <v>26</v>
      </c>
      <c r="B28">
        <v>6797</v>
      </c>
      <c r="C28">
        <v>47</v>
      </c>
      <c r="D28" t="s">
        <v>17</v>
      </c>
      <c r="E28" t="b">
        <v>1</v>
      </c>
      <c r="F28" t="s">
        <v>27</v>
      </c>
      <c r="G28">
        <v>26</v>
      </c>
      <c r="H28">
        <v>201648</v>
      </c>
    </row>
    <row r="29" spans="1:8" x14ac:dyDescent="0.25">
      <c r="A29">
        <v>27</v>
      </c>
      <c r="B29">
        <v>5040</v>
      </c>
      <c r="C29">
        <v>37</v>
      </c>
      <c r="D29" t="s">
        <v>13</v>
      </c>
      <c r="E29" t="b">
        <v>1</v>
      </c>
      <c r="F29" t="s">
        <v>28</v>
      </c>
      <c r="G29">
        <v>22</v>
      </c>
      <c r="H29">
        <v>186028</v>
      </c>
    </row>
    <row r="30" spans="1:8" x14ac:dyDescent="0.25">
      <c r="A30">
        <v>28</v>
      </c>
      <c r="B30">
        <v>9477</v>
      </c>
      <c r="C30">
        <v>54</v>
      </c>
      <c r="D30" t="s">
        <v>17</v>
      </c>
      <c r="E30" t="b">
        <v>1</v>
      </c>
      <c r="F30" s="1">
        <v>39724</v>
      </c>
      <c r="G30">
        <v>26</v>
      </c>
      <c r="H30">
        <v>201094</v>
      </c>
    </row>
    <row r="31" spans="1:8" x14ac:dyDescent="0.25">
      <c r="A31">
        <v>29</v>
      </c>
      <c r="B31">
        <v>3555</v>
      </c>
      <c r="C31">
        <v>48</v>
      </c>
      <c r="D31" t="s">
        <v>10</v>
      </c>
      <c r="E31" t="b">
        <v>1</v>
      </c>
      <c r="F31" s="1">
        <v>29227</v>
      </c>
      <c r="G31">
        <v>25</v>
      </c>
      <c r="H31">
        <v>192419</v>
      </c>
    </row>
    <row r="32" spans="1:8" x14ac:dyDescent="0.25">
      <c r="A32">
        <v>30</v>
      </c>
      <c r="B32">
        <v>3490</v>
      </c>
      <c r="C32">
        <v>28</v>
      </c>
      <c r="D32" t="s">
        <v>17</v>
      </c>
      <c r="E32" t="b">
        <v>1</v>
      </c>
      <c r="F32" s="1">
        <v>38026</v>
      </c>
      <c r="G32">
        <v>13</v>
      </c>
      <c r="H32">
        <v>103102</v>
      </c>
    </row>
    <row r="33" spans="1:8" x14ac:dyDescent="0.25">
      <c r="A33">
        <v>31</v>
      </c>
      <c r="B33">
        <v>3637</v>
      </c>
      <c r="C33">
        <v>62</v>
      </c>
      <c r="D33" t="s">
        <v>11</v>
      </c>
      <c r="E33" t="b">
        <v>1</v>
      </c>
      <c r="F33" t="s">
        <v>29</v>
      </c>
      <c r="G33">
        <v>31</v>
      </c>
      <c r="H33">
        <v>248038</v>
      </c>
    </row>
    <row r="34" spans="1:8" x14ac:dyDescent="0.25">
      <c r="A34">
        <v>32</v>
      </c>
      <c r="B34">
        <v>9629</v>
      </c>
      <c r="C34">
        <v>44</v>
      </c>
      <c r="D34" t="s">
        <v>11</v>
      </c>
      <c r="E34" t="b">
        <v>1</v>
      </c>
      <c r="F34" t="s">
        <v>30</v>
      </c>
      <c r="G34">
        <v>22</v>
      </c>
      <c r="H34">
        <v>178656</v>
      </c>
    </row>
    <row r="35" spans="1:8" x14ac:dyDescent="0.25">
      <c r="A35">
        <v>33</v>
      </c>
      <c r="B35">
        <v>6809</v>
      </c>
      <c r="C35">
        <v>40</v>
      </c>
      <c r="D35" t="s">
        <v>17</v>
      </c>
      <c r="E35" t="b">
        <v>1</v>
      </c>
      <c r="F35" s="1">
        <v>28011</v>
      </c>
      <c r="G35">
        <v>19</v>
      </c>
      <c r="H35">
        <v>149831</v>
      </c>
    </row>
    <row r="36" spans="1:8" x14ac:dyDescent="0.25">
      <c r="A36">
        <v>34</v>
      </c>
      <c r="B36">
        <v>8660</v>
      </c>
      <c r="C36">
        <v>34</v>
      </c>
      <c r="D36" t="s">
        <v>13</v>
      </c>
      <c r="E36" t="b">
        <v>1</v>
      </c>
      <c r="F36" s="1">
        <v>43527</v>
      </c>
      <c r="G36">
        <v>17</v>
      </c>
      <c r="H36">
        <v>137180</v>
      </c>
    </row>
    <row r="37" spans="1:8" x14ac:dyDescent="0.25">
      <c r="A37">
        <v>35</v>
      </c>
      <c r="B37">
        <v>3840</v>
      </c>
      <c r="C37">
        <v>45</v>
      </c>
      <c r="D37" t="s">
        <v>10</v>
      </c>
      <c r="E37" t="b">
        <v>1</v>
      </c>
      <c r="F37" t="s">
        <v>31</v>
      </c>
      <c r="G37">
        <v>22</v>
      </c>
      <c r="H37">
        <v>173071</v>
      </c>
    </row>
    <row r="38" spans="1:8" x14ac:dyDescent="0.25">
      <c r="A38">
        <v>36</v>
      </c>
      <c r="B38">
        <v>8354</v>
      </c>
      <c r="C38">
        <v>45</v>
      </c>
      <c r="D38" t="s">
        <v>8</v>
      </c>
      <c r="E38" t="b">
        <v>0</v>
      </c>
      <c r="F38" t="s">
        <v>32</v>
      </c>
      <c r="G38">
        <v>22</v>
      </c>
      <c r="H38">
        <v>177939</v>
      </c>
    </row>
    <row r="39" spans="1:8" x14ac:dyDescent="0.25">
      <c r="A39">
        <v>37</v>
      </c>
      <c r="B39">
        <v>9487</v>
      </c>
      <c r="C39">
        <v>37</v>
      </c>
      <c r="D39" t="s">
        <v>10</v>
      </c>
      <c r="E39" t="b">
        <v>0</v>
      </c>
      <c r="F39" s="1">
        <v>45451</v>
      </c>
      <c r="G39">
        <v>14</v>
      </c>
      <c r="H39">
        <v>115812</v>
      </c>
    </row>
    <row r="40" spans="1:8" x14ac:dyDescent="0.25">
      <c r="A40">
        <v>38</v>
      </c>
      <c r="B40">
        <v>1501</v>
      </c>
      <c r="C40">
        <v>47</v>
      </c>
      <c r="D40" t="s">
        <v>11</v>
      </c>
      <c r="E40" t="b">
        <v>1</v>
      </c>
      <c r="F40" t="s">
        <v>33</v>
      </c>
      <c r="G40">
        <v>21</v>
      </c>
      <c r="H40">
        <v>159633</v>
      </c>
    </row>
    <row r="41" spans="1:8" x14ac:dyDescent="0.25">
      <c r="A41">
        <v>39</v>
      </c>
      <c r="B41">
        <v>3766</v>
      </c>
      <c r="C41">
        <v>30</v>
      </c>
      <c r="D41" t="s">
        <v>11</v>
      </c>
      <c r="E41" t="b">
        <v>1</v>
      </c>
      <c r="F41" t="s">
        <v>34</v>
      </c>
      <c r="G41">
        <v>16</v>
      </c>
      <c r="H41">
        <v>132927</v>
      </c>
    </row>
    <row r="42" spans="1:8" x14ac:dyDescent="0.25">
      <c r="A42">
        <v>40</v>
      </c>
      <c r="B42">
        <v>6867</v>
      </c>
      <c r="C42">
        <v>47</v>
      </c>
      <c r="D42" t="s">
        <v>10</v>
      </c>
      <c r="E42" t="b">
        <v>0</v>
      </c>
      <c r="F42" s="1">
        <v>39729</v>
      </c>
      <c r="G42">
        <v>26</v>
      </c>
      <c r="H42">
        <v>208357</v>
      </c>
    </row>
    <row r="43" spans="1:8" x14ac:dyDescent="0.25">
      <c r="A43">
        <v>41</v>
      </c>
      <c r="B43">
        <v>3272</v>
      </c>
      <c r="C43">
        <v>22</v>
      </c>
      <c r="D43" t="s">
        <v>10</v>
      </c>
      <c r="E43" t="b">
        <v>1</v>
      </c>
      <c r="F43" t="s">
        <v>35</v>
      </c>
      <c r="G43">
        <v>12</v>
      </c>
      <c r="H43">
        <v>98088</v>
      </c>
    </row>
    <row r="44" spans="1:8" x14ac:dyDescent="0.25">
      <c r="A44">
        <v>42</v>
      </c>
      <c r="B44">
        <v>9299</v>
      </c>
      <c r="C44">
        <v>45</v>
      </c>
      <c r="D44" t="s">
        <v>10</v>
      </c>
      <c r="E44" t="b">
        <v>0</v>
      </c>
      <c r="F44" s="1">
        <v>44288</v>
      </c>
      <c r="G44">
        <v>20</v>
      </c>
      <c r="H44">
        <v>162526</v>
      </c>
    </row>
    <row r="45" spans="1:8" x14ac:dyDescent="0.25">
      <c r="A45">
        <v>43</v>
      </c>
      <c r="B45">
        <v>3681</v>
      </c>
      <c r="C45">
        <v>48</v>
      </c>
      <c r="D45" t="s">
        <v>8</v>
      </c>
      <c r="E45" t="b">
        <v>1</v>
      </c>
      <c r="F45" t="s">
        <v>36</v>
      </c>
      <c r="G45">
        <v>23</v>
      </c>
      <c r="H45">
        <v>182251</v>
      </c>
    </row>
    <row r="46" spans="1:8" x14ac:dyDescent="0.25">
      <c r="A46">
        <v>44</v>
      </c>
      <c r="B46">
        <v>1311</v>
      </c>
      <c r="C46">
        <v>51</v>
      </c>
      <c r="D46" t="s">
        <v>10</v>
      </c>
      <c r="E46" t="b">
        <v>1</v>
      </c>
      <c r="F46" t="s">
        <v>37</v>
      </c>
      <c r="G46">
        <v>27</v>
      </c>
      <c r="H46">
        <v>222715</v>
      </c>
    </row>
    <row r="47" spans="1:8" x14ac:dyDescent="0.25">
      <c r="A47">
        <v>45</v>
      </c>
      <c r="B47">
        <v>7563</v>
      </c>
      <c r="C47">
        <v>31</v>
      </c>
      <c r="D47" t="s">
        <v>8</v>
      </c>
      <c r="E47" t="b">
        <v>0</v>
      </c>
      <c r="F47" s="1">
        <v>30256</v>
      </c>
      <c r="G47">
        <v>17</v>
      </c>
      <c r="H47">
        <v>133435</v>
      </c>
    </row>
    <row r="48" spans="1:8" x14ac:dyDescent="0.25">
      <c r="A48">
        <v>46</v>
      </c>
      <c r="B48">
        <v>1977</v>
      </c>
      <c r="C48">
        <v>38</v>
      </c>
      <c r="D48" t="s">
        <v>8</v>
      </c>
      <c r="E48" t="b">
        <v>0</v>
      </c>
      <c r="F48" s="1">
        <v>43774</v>
      </c>
      <c r="G48">
        <v>18</v>
      </c>
      <c r="H48">
        <v>130398</v>
      </c>
    </row>
    <row r="49" spans="1:8" x14ac:dyDescent="0.25">
      <c r="A49">
        <v>47</v>
      </c>
      <c r="B49">
        <v>2765</v>
      </c>
      <c r="C49">
        <v>40</v>
      </c>
      <c r="D49" t="s">
        <v>10</v>
      </c>
      <c r="E49" t="b">
        <v>1</v>
      </c>
      <c r="F49" t="s">
        <v>38</v>
      </c>
      <c r="G49">
        <v>21</v>
      </c>
      <c r="H49">
        <v>164496</v>
      </c>
    </row>
    <row r="50" spans="1:8" x14ac:dyDescent="0.25">
      <c r="A50">
        <v>48</v>
      </c>
      <c r="B50">
        <v>1385</v>
      </c>
      <c r="C50">
        <v>42</v>
      </c>
      <c r="D50" t="s">
        <v>8</v>
      </c>
      <c r="E50" t="b">
        <v>0</v>
      </c>
      <c r="F50" s="1">
        <v>38726</v>
      </c>
      <c r="G50">
        <v>19</v>
      </c>
      <c r="H50">
        <v>158595</v>
      </c>
    </row>
    <row r="51" spans="1:8" x14ac:dyDescent="0.25">
      <c r="A51">
        <v>49</v>
      </c>
      <c r="B51">
        <v>4113</v>
      </c>
      <c r="C51">
        <v>64</v>
      </c>
      <c r="D51" t="s">
        <v>11</v>
      </c>
      <c r="E51" t="b">
        <v>0</v>
      </c>
      <c r="F51" s="1">
        <v>41158</v>
      </c>
      <c r="G51">
        <v>30</v>
      </c>
      <c r="H51">
        <v>236259</v>
      </c>
    </row>
    <row r="52" spans="1:8" x14ac:dyDescent="0.25">
      <c r="A52">
        <v>50</v>
      </c>
      <c r="B52">
        <v>8791</v>
      </c>
      <c r="C52">
        <v>50</v>
      </c>
      <c r="D52" t="s">
        <v>10</v>
      </c>
      <c r="E52" t="b">
        <v>1</v>
      </c>
      <c r="F52" t="s">
        <v>39</v>
      </c>
      <c r="G52">
        <v>22</v>
      </c>
      <c r="H52">
        <v>174905</v>
      </c>
    </row>
    <row r="53" spans="1:8" x14ac:dyDescent="0.25">
      <c r="A53">
        <v>51</v>
      </c>
      <c r="B53">
        <v>7925</v>
      </c>
      <c r="C53">
        <v>44</v>
      </c>
      <c r="D53" t="s">
        <v>13</v>
      </c>
      <c r="E53" t="b">
        <v>0</v>
      </c>
      <c r="F53" t="s">
        <v>40</v>
      </c>
      <c r="G53">
        <v>21</v>
      </c>
      <c r="H53">
        <v>161581</v>
      </c>
    </row>
    <row r="54" spans="1:8" x14ac:dyDescent="0.25">
      <c r="A54">
        <v>52</v>
      </c>
      <c r="B54">
        <v>9867</v>
      </c>
      <c r="C54">
        <v>50</v>
      </c>
      <c r="D54" t="s">
        <v>17</v>
      </c>
      <c r="E54" t="b">
        <v>1</v>
      </c>
      <c r="F54" t="s">
        <v>41</v>
      </c>
      <c r="G54">
        <v>27</v>
      </c>
      <c r="H54">
        <v>210865</v>
      </c>
    </row>
    <row r="55" spans="1:8" x14ac:dyDescent="0.25">
      <c r="A55">
        <v>53</v>
      </c>
      <c r="B55">
        <v>3086</v>
      </c>
      <c r="C55">
        <v>46</v>
      </c>
      <c r="D55" t="s">
        <v>17</v>
      </c>
      <c r="E55" t="b">
        <v>1</v>
      </c>
      <c r="F55" s="1">
        <v>44045</v>
      </c>
      <c r="G55">
        <v>23</v>
      </c>
      <c r="H55">
        <v>187209</v>
      </c>
    </row>
    <row r="56" spans="1:8" x14ac:dyDescent="0.25">
      <c r="A56">
        <v>54</v>
      </c>
      <c r="B56">
        <v>2797</v>
      </c>
      <c r="C56">
        <v>51</v>
      </c>
      <c r="D56" t="s">
        <v>17</v>
      </c>
      <c r="E56" t="b">
        <v>1</v>
      </c>
      <c r="F56" s="1">
        <v>41466</v>
      </c>
      <c r="G56">
        <v>27</v>
      </c>
      <c r="H56">
        <v>216483</v>
      </c>
    </row>
    <row r="57" spans="1:8" x14ac:dyDescent="0.25">
      <c r="A57">
        <v>55</v>
      </c>
      <c r="B57">
        <v>2514</v>
      </c>
      <c r="C57">
        <v>63</v>
      </c>
      <c r="D57" t="s">
        <v>17</v>
      </c>
      <c r="E57" t="b">
        <v>0</v>
      </c>
      <c r="F57" s="1">
        <v>37958</v>
      </c>
      <c r="G57">
        <v>31</v>
      </c>
      <c r="H57">
        <v>241732</v>
      </c>
    </row>
    <row r="58" spans="1:8" x14ac:dyDescent="0.25">
      <c r="A58">
        <v>56</v>
      </c>
      <c r="B58">
        <v>5404</v>
      </c>
      <c r="C58">
        <v>22</v>
      </c>
      <c r="D58" t="s">
        <v>17</v>
      </c>
      <c r="E58" t="b">
        <v>1</v>
      </c>
      <c r="F58" t="s">
        <v>42</v>
      </c>
      <c r="G58">
        <v>13</v>
      </c>
      <c r="H58">
        <v>100085</v>
      </c>
    </row>
    <row r="59" spans="1:8" x14ac:dyDescent="0.25">
      <c r="A59">
        <v>57</v>
      </c>
      <c r="B59">
        <v>7609</v>
      </c>
      <c r="C59">
        <v>48</v>
      </c>
      <c r="D59" t="s">
        <v>13</v>
      </c>
      <c r="E59" t="b">
        <v>0</v>
      </c>
      <c r="F59" s="1">
        <v>33181</v>
      </c>
      <c r="G59">
        <v>24</v>
      </c>
      <c r="H59">
        <v>196599</v>
      </c>
    </row>
    <row r="60" spans="1:8" x14ac:dyDescent="0.25">
      <c r="A60">
        <v>58</v>
      </c>
      <c r="B60">
        <v>4788</v>
      </c>
      <c r="C60">
        <v>53</v>
      </c>
      <c r="D60" t="s">
        <v>10</v>
      </c>
      <c r="E60" t="b">
        <v>0</v>
      </c>
      <c r="F60" t="s">
        <v>43</v>
      </c>
      <c r="G60">
        <v>25</v>
      </c>
      <c r="H60">
        <v>203758</v>
      </c>
    </row>
    <row r="61" spans="1:8" x14ac:dyDescent="0.25">
      <c r="A61">
        <v>59</v>
      </c>
      <c r="B61">
        <v>1607</v>
      </c>
      <c r="C61">
        <v>59</v>
      </c>
      <c r="D61" t="s">
        <v>17</v>
      </c>
      <c r="E61" t="b">
        <v>1</v>
      </c>
      <c r="F61" t="s">
        <v>44</v>
      </c>
      <c r="G61">
        <v>32</v>
      </c>
      <c r="H61">
        <v>254771</v>
      </c>
    </row>
    <row r="62" spans="1:8" x14ac:dyDescent="0.25">
      <c r="A62">
        <v>60</v>
      </c>
      <c r="B62">
        <v>4605</v>
      </c>
      <c r="C62">
        <v>53</v>
      </c>
      <c r="D62" t="s">
        <v>8</v>
      </c>
      <c r="E62" t="b">
        <v>1</v>
      </c>
      <c r="F62" t="s">
        <v>45</v>
      </c>
      <c r="G62">
        <v>28</v>
      </c>
      <c r="H62">
        <v>221350</v>
      </c>
    </row>
    <row r="63" spans="1:8" x14ac:dyDescent="0.25">
      <c r="A63">
        <v>61</v>
      </c>
      <c r="B63">
        <v>9897</v>
      </c>
      <c r="C63">
        <v>60</v>
      </c>
      <c r="D63" t="s">
        <v>8</v>
      </c>
      <c r="E63" t="b">
        <v>0</v>
      </c>
      <c r="F63" t="s">
        <v>46</v>
      </c>
      <c r="G63">
        <v>28</v>
      </c>
      <c r="H63">
        <v>227840</v>
      </c>
    </row>
    <row r="64" spans="1:8" x14ac:dyDescent="0.25">
      <c r="A64">
        <v>62</v>
      </c>
      <c r="B64">
        <v>6593</v>
      </c>
      <c r="C64">
        <v>30</v>
      </c>
      <c r="D64" t="s">
        <v>8</v>
      </c>
      <c r="E64" t="b">
        <v>0</v>
      </c>
      <c r="F64" t="s">
        <v>47</v>
      </c>
      <c r="G64">
        <v>15</v>
      </c>
      <c r="H64">
        <v>118126</v>
      </c>
    </row>
    <row r="65" spans="1:8" x14ac:dyDescent="0.25">
      <c r="A65">
        <v>63</v>
      </c>
      <c r="B65">
        <v>2340</v>
      </c>
      <c r="C65">
        <v>32</v>
      </c>
      <c r="D65" t="s">
        <v>10</v>
      </c>
      <c r="E65" t="b">
        <v>0</v>
      </c>
      <c r="F65" s="1">
        <v>27763</v>
      </c>
      <c r="G65">
        <v>15</v>
      </c>
      <c r="H65">
        <v>124811</v>
      </c>
    </row>
    <row r="66" spans="1:8" x14ac:dyDescent="0.25">
      <c r="A66">
        <v>64</v>
      </c>
      <c r="B66">
        <v>5328</v>
      </c>
      <c r="C66">
        <v>34</v>
      </c>
      <c r="D66" t="s">
        <v>17</v>
      </c>
      <c r="E66" t="b">
        <v>0</v>
      </c>
      <c r="F66" t="s">
        <v>48</v>
      </c>
      <c r="G66">
        <v>17</v>
      </c>
      <c r="H66">
        <v>138134</v>
      </c>
    </row>
    <row r="67" spans="1:8" x14ac:dyDescent="0.25">
      <c r="A67">
        <v>65</v>
      </c>
      <c r="B67">
        <v>5037</v>
      </c>
      <c r="C67">
        <v>36</v>
      </c>
      <c r="D67" t="s">
        <v>8</v>
      </c>
      <c r="E67" t="b">
        <v>0</v>
      </c>
      <c r="F67" t="s">
        <v>49</v>
      </c>
      <c r="G67">
        <v>16</v>
      </c>
      <c r="H67">
        <v>127124</v>
      </c>
    </row>
    <row r="68" spans="1:8" x14ac:dyDescent="0.25">
      <c r="A68">
        <v>66</v>
      </c>
      <c r="B68">
        <v>4527</v>
      </c>
      <c r="C68">
        <v>44</v>
      </c>
      <c r="D68" t="s">
        <v>10</v>
      </c>
      <c r="E68" t="b">
        <v>0</v>
      </c>
      <c r="F68" s="1">
        <v>27977</v>
      </c>
      <c r="G68">
        <v>19</v>
      </c>
      <c r="H68">
        <v>151056</v>
      </c>
    </row>
    <row r="69" spans="1:8" x14ac:dyDescent="0.25">
      <c r="A69">
        <v>67</v>
      </c>
      <c r="B69">
        <v>6286</v>
      </c>
      <c r="C69">
        <v>40</v>
      </c>
      <c r="D69" t="s">
        <v>8</v>
      </c>
      <c r="E69" t="b">
        <v>0</v>
      </c>
      <c r="F69" t="s">
        <v>50</v>
      </c>
      <c r="G69">
        <v>18</v>
      </c>
      <c r="H69">
        <v>135177</v>
      </c>
    </row>
    <row r="70" spans="1:8" x14ac:dyDescent="0.25">
      <c r="A70">
        <v>68</v>
      </c>
      <c r="B70">
        <v>3154</v>
      </c>
      <c r="C70">
        <v>31</v>
      </c>
      <c r="D70" t="s">
        <v>11</v>
      </c>
      <c r="E70" t="b">
        <v>1</v>
      </c>
      <c r="F70" t="s">
        <v>51</v>
      </c>
      <c r="G70">
        <v>12</v>
      </c>
      <c r="H70">
        <v>99214</v>
      </c>
    </row>
    <row r="71" spans="1:8" x14ac:dyDescent="0.25">
      <c r="A71">
        <v>69</v>
      </c>
      <c r="B71">
        <v>9819</v>
      </c>
      <c r="C71">
        <v>35</v>
      </c>
      <c r="D71" t="s">
        <v>10</v>
      </c>
      <c r="E71" t="b">
        <v>0</v>
      </c>
      <c r="F71" s="1">
        <v>43563</v>
      </c>
      <c r="G71">
        <v>17</v>
      </c>
      <c r="H71">
        <v>133866</v>
      </c>
    </row>
    <row r="72" spans="1:8" x14ac:dyDescent="0.25">
      <c r="A72">
        <v>70</v>
      </c>
      <c r="B72">
        <v>3438</v>
      </c>
      <c r="C72">
        <v>32</v>
      </c>
      <c r="D72" t="s">
        <v>17</v>
      </c>
      <c r="E72" t="b">
        <v>1</v>
      </c>
      <c r="F72" s="1">
        <v>27125</v>
      </c>
      <c r="G72">
        <v>16</v>
      </c>
      <c r="H72">
        <v>127570</v>
      </c>
    </row>
    <row r="73" spans="1:8" x14ac:dyDescent="0.25">
      <c r="A73">
        <v>71</v>
      </c>
      <c r="B73">
        <v>8337</v>
      </c>
      <c r="C73">
        <v>35</v>
      </c>
      <c r="D73" t="s">
        <v>13</v>
      </c>
      <c r="E73" t="b">
        <v>1</v>
      </c>
      <c r="F73" s="1">
        <v>33547</v>
      </c>
      <c r="G73">
        <v>19</v>
      </c>
      <c r="H73">
        <v>140250</v>
      </c>
    </row>
    <row r="74" spans="1:8" x14ac:dyDescent="0.25">
      <c r="A74">
        <v>72</v>
      </c>
      <c r="B74">
        <v>7233</v>
      </c>
      <c r="C74">
        <v>51</v>
      </c>
      <c r="D74" t="s">
        <v>10</v>
      </c>
      <c r="E74" t="b">
        <v>0</v>
      </c>
      <c r="F74" s="1">
        <v>33787</v>
      </c>
      <c r="G74">
        <v>27</v>
      </c>
      <c r="H74">
        <v>212800</v>
      </c>
    </row>
    <row r="75" spans="1:8" x14ac:dyDescent="0.25">
      <c r="A75">
        <v>73</v>
      </c>
      <c r="B75">
        <v>7073</v>
      </c>
      <c r="C75">
        <v>50</v>
      </c>
      <c r="D75" t="s">
        <v>13</v>
      </c>
      <c r="E75" t="b">
        <v>0</v>
      </c>
      <c r="F75" s="1">
        <v>33703</v>
      </c>
      <c r="G75">
        <v>23</v>
      </c>
      <c r="H75">
        <v>191346</v>
      </c>
    </row>
    <row r="76" spans="1:8" x14ac:dyDescent="0.25">
      <c r="A76">
        <v>74</v>
      </c>
      <c r="B76">
        <v>6850</v>
      </c>
      <c r="C76">
        <v>36</v>
      </c>
      <c r="D76" t="s">
        <v>11</v>
      </c>
      <c r="E76" t="b">
        <v>1</v>
      </c>
      <c r="F76" t="s">
        <v>52</v>
      </c>
      <c r="G76">
        <v>20</v>
      </c>
      <c r="H76">
        <v>160278</v>
      </c>
    </row>
    <row r="77" spans="1:8" x14ac:dyDescent="0.25">
      <c r="A77">
        <v>75</v>
      </c>
      <c r="B77">
        <v>7191</v>
      </c>
      <c r="C77">
        <v>52</v>
      </c>
      <c r="D77" t="s">
        <v>10</v>
      </c>
      <c r="E77" t="b">
        <v>1</v>
      </c>
      <c r="F77" s="1">
        <v>30594</v>
      </c>
      <c r="G77">
        <v>27</v>
      </c>
      <c r="H77">
        <v>217985</v>
      </c>
    </row>
    <row r="78" spans="1:8" x14ac:dyDescent="0.25">
      <c r="A78">
        <v>76</v>
      </c>
      <c r="B78">
        <v>5208</v>
      </c>
      <c r="C78">
        <v>36</v>
      </c>
      <c r="D78" t="s">
        <v>17</v>
      </c>
      <c r="E78" t="b">
        <v>1</v>
      </c>
      <c r="F78" t="s">
        <v>53</v>
      </c>
      <c r="G78">
        <v>20</v>
      </c>
      <c r="H78">
        <v>172798</v>
      </c>
    </row>
    <row r="79" spans="1:8" x14ac:dyDescent="0.25">
      <c r="A79">
        <v>77</v>
      </c>
      <c r="B79">
        <v>5116</v>
      </c>
      <c r="C79">
        <v>26</v>
      </c>
      <c r="D79" t="s">
        <v>17</v>
      </c>
      <c r="E79" t="b">
        <v>0</v>
      </c>
      <c r="F79" t="s">
        <v>54</v>
      </c>
      <c r="G79">
        <v>15</v>
      </c>
      <c r="H79">
        <v>120869</v>
      </c>
    </row>
    <row r="80" spans="1:8" x14ac:dyDescent="0.25">
      <c r="A80">
        <v>78</v>
      </c>
      <c r="B80">
        <v>6328</v>
      </c>
      <c r="C80">
        <v>45</v>
      </c>
      <c r="D80" t="s">
        <v>10</v>
      </c>
      <c r="E80" t="b">
        <v>1</v>
      </c>
      <c r="F80" t="s">
        <v>55</v>
      </c>
      <c r="G80">
        <v>23</v>
      </c>
      <c r="H80">
        <v>186135</v>
      </c>
    </row>
    <row r="81" spans="1:8" x14ac:dyDescent="0.25">
      <c r="A81">
        <v>79</v>
      </c>
      <c r="B81">
        <v>3538</v>
      </c>
      <c r="C81">
        <v>27</v>
      </c>
      <c r="D81" t="s">
        <v>13</v>
      </c>
      <c r="E81" t="b">
        <v>0</v>
      </c>
      <c r="F81" t="s">
        <v>56</v>
      </c>
      <c r="G81">
        <v>12</v>
      </c>
      <c r="H81">
        <v>107313</v>
      </c>
    </row>
    <row r="82" spans="1:8" x14ac:dyDescent="0.25">
      <c r="A82">
        <v>80</v>
      </c>
      <c r="B82">
        <v>5826</v>
      </c>
      <c r="C82">
        <v>48</v>
      </c>
      <c r="D82" t="s">
        <v>13</v>
      </c>
      <c r="E82" t="b">
        <v>0</v>
      </c>
      <c r="F82" s="1">
        <v>27040</v>
      </c>
      <c r="G82">
        <v>23</v>
      </c>
      <c r="H82">
        <v>189726</v>
      </c>
    </row>
    <row r="83" spans="1:8" x14ac:dyDescent="0.25">
      <c r="A83">
        <v>81</v>
      </c>
      <c r="B83">
        <v>6108</v>
      </c>
      <c r="C83">
        <v>45</v>
      </c>
      <c r="D83" t="s">
        <v>13</v>
      </c>
      <c r="E83" t="b">
        <v>1</v>
      </c>
      <c r="F83" t="s">
        <v>57</v>
      </c>
      <c r="G83">
        <v>21</v>
      </c>
      <c r="H83">
        <v>171530</v>
      </c>
    </row>
    <row r="84" spans="1:8" x14ac:dyDescent="0.25">
      <c r="A84">
        <v>82</v>
      </c>
      <c r="B84">
        <v>2867</v>
      </c>
      <c r="C84">
        <v>64</v>
      </c>
      <c r="D84" t="s">
        <v>11</v>
      </c>
      <c r="E84" t="b">
        <v>0</v>
      </c>
      <c r="F84" s="1">
        <v>42316</v>
      </c>
      <c r="G84">
        <v>34</v>
      </c>
      <c r="H84">
        <v>271935</v>
      </c>
    </row>
    <row r="85" spans="1:8" x14ac:dyDescent="0.25">
      <c r="A85">
        <v>83</v>
      </c>
      <c r="B85">
        <v>4495</v>
      </c>
      <c r="C85">
        <v>53</v>
      </c>
      <c r="D85" t="s">
        <v>11</v>
      </c>
      <c r="E85" t="b">
        <v>1</v>
      </c>
      <c r="F85" t="s">
        <v>58</v>
      </c>
      <c r="G85">
        <v>29</v>
      </c>
      <c r="H85">
        <v>234900</v>
      </c>
    </row>
    <row r="86" spans="1:8" x14ac:dyDescent="0.25">
      <c r="A86">
        <v>84</v>
      </c>
      <c r="B86">
        <v>9750</v>
      </c>
      <c r="C86">
        <v>49</v>
      </c>
      <c r="D86" t="s">
        <v>8</v>
      </c>
      <c r="E86" t="b">
        <v>0</v>
      </c>
      <c r="F86" t="s">
        <v>59</v>
      </c>
      <c r="G86">
        <v>23</v>
      </c>
      <c r="H86">
        <v>181290</v>
      </c>
    </row>
    <row r="87" spans="1:8" x14ac:dyDescent="0.25">
      <c r="A87">
        <v>85</v>
      </c>
      <c r="B87">
        <v>9243</v>
      </c>
      <c r="C87">
        <v>60</v>
      </c>
      <c r="D87" t="s">
        <v>10</v>
      </c>
      <c r="E87" t="b">
        <v>0</v>
      </c>
      <c r="F87" s="1">
        <v>35342</v>
      </c>
      <c r="G87">
        <v>31</v>
      </c>
      <c r="H87">
        <v>246555</v>
      </c>
    </row>
    <row r="88" spans="1:8" x14ac:dyDescent="0.25">
      <c r="A88">
        <v>86</v>
      </c>
      <c r="B88">
        <v>8462</v>
      </c>
      <c r="C88">
        <v>51</v>
      </c>
      <c r="D88" t="s">
        <v>8</v>
      </c>
      <c r="E88" t="b">
        <v>1</v>
      </c>
      <c r="F88" t="s">
        <v>60</v>
      </c>
      <c r="G88">
        <v>24</v>
      </c>
      <c r="H88">
        <v>191660</v>
      </c>
    </row>
    <row r="89" spans="1:8" x14ac:dyDescent="0.25">
      <c r="A89">
        <v>87</v>
      </c>
      <c r="B89">
        <v>8247</v>
      </c>
      <c r="C89">
        <v>22</v>
      </c>
      <c r="D89" t="s">
        <v>10</v>
      </c>
      <c r="E89" t="b">
        <v>1</v>
      </c>
      <c r="F89" t="s">
        <v>61</v>
      </c>
      <c r="G89">
        <v>14</v>
      </c>
      <c r="H89">
        <v>111511</v>
      </c>
    </row>
    <row r="90" spans="1:8" x14ac:dyDescent="0.25">
      <c r="A90">
        <v>88</v>
      </c>
      <c r="B90">
        <v>3054</v>
      </c>
      <c r="C90">
        <v>43</v>
      </c>
      <c r="D90" t="s">
        <v>17</v>
      </c>
      <c r="E90" t="b">
        <v>1</v>
      </c>
      <c r="F90" t="s">
        <v>62</v>
      </c>
      <c r="G90">
        <v>19</v>
      </c>
      <c r="H90">
        <v>148439</v>
      </c>
    </row>
    <row r="91" spans="1:8" x14ac:dyDescent="0.25">
      <c r="A91">
        <v>89</v>
      </c>
      <c r="B91">
        <v>3988</v>
      </c>
      <c r="C91">
        <v>31</v>
      </c>
      <c r="D91" t="s">
        <v>13</v>
      </c>
      <c r="E91" t="b">
        <v>1</v>
      </c>
      <c r="F91" t="s">
        <v>63</v>
      </c>
      <c r="G91">
        <v>15</v>
      </c>
      <c r="H91">
        <v>120884</v>
      </c>
    </row>
    <row r="92" spans="1:8" x14ac:dyDescent="0.25">
      <c r="A92">
        <v>90</v>
      </c>
      <c r="B92">
        <v>3300</v>
      </c>
      <c r="C92">
        <v>26</v>
      </c>
      <c r="D92" t="s">
        <v>10</v>
      </c>
      <c r="E92" t="b">
        <v>1</v>
      </c>
      <c r="F92" s="1">
        <v>45667</v>
      </c>
      <c r="G92">
        <v>12</v>
      </c>
      <c r="H92">
        <v>94805</v>
      </c>
    </row>
    <row r="93" spans="1:8" x14ac:dyDescent="0.25">
      <c r="A93">
        <v>91</v>
      </c>
      <c r="B93">
        <v>9343</v>
      </c>
      <c r="C93">
        <v>27</v>
      </c>
      <c r="D93" t="s">
        <v>10</v>
      </c>
      <c r="E93" t="b">
        <v>0</v>
      </c>
      <c r="F93" t="s">
        <v>64</v>
      </c>
      <c r="G93">
        <v>13</v>
      </c>
      <c r="H93">
        <v>97135</v>
      </c>
    </row>
    <row r="94" spans="1:8" x14ac:dyDescent="0.25">
      <c r="A94">
        <v>92</v>
      </c>
      <c r="B94">
        <v>4183</v>
      </c>
      <c r="C94">
        <v>52</v>
      </c>
      <c r="D94" t="s">
        <v>17</v>
      </c>
      <c r="E94" t="b">
        <v>0</v>
      </c>
      <c r="F94" t="s">
        <v>65</v>
      </c>
      <c r="G94">
        <v>29</v>
      </c>
      <c r="H94">
        <v>220820</v>
      </c>
    </row>
    <row r="95" spans="1:8" x14ac:dyDescent="0.25">
      <c r="A95">
        <v>93</v>
      </c>
      <c r="B95">
        <v>4933</v>
      </c>
      <c r="C95">
        <v>31</v>
      </c>
      <c r="D95" t="s">
        <v>11</v>
      </c>
      <c r="E95" t="b">
        <v>1</v>
      </c>
      <c r="F95" t="s">
        <v>66</v>
      </c>
      <c r="G95">
        <v>14</v>
      </c>
      <c r="H95">
        <v>118043</v>
      </c>
    </row>
    <row r="96" spans="1:8" x14ac:dyDescent="0.25">
      <c r="A96">
        <v>94</v>
      </c>
      <c r="B96">
        <v>7374</v>
      </c>
      <c r="C96">
        <v>52</v>
      </c>
      <c r="D96" t="s">
        <v>13</v>
      </c>
      <c r="E96" t="b">
        <v>0</v>
      </c>
      <c r="F96" s="1">
        <v>40149</v>
      </c>
      <c r="G96">
        <v>27</v>
      </c>
      <c r="H96">
        <v>223315</v>
      </c>
    </row>
    <row r="97" spans="1:8" x14ac:dyDescent="0.25">
      <c r="A97">
        <v>95</v>
      </c>
      <c r="B97">
        <v>1082</v>
      </c>
      <c r="C97">
        <v>61</v>
      </c>
      <c r="D97" t="s">
        <v>8</v>
      </c>
      <c r="E97" t="b">
        <v>1</v>
      </c>
      <c r="F97" s="1">
        <v>38018</v>
      </c>
      <c r="G97">
        <v>30</v>
      </c>
      <c r="H97">
        <v>246738</v>
      </c>
    </row>
    <row r="98" spans="1:8" x14ac:dyDescent="0.25">
      <c r="A98">
        <v>96</v>
      </c>
      <c r="B98">
        <v>4204</v>
      </c>
      <c r="C98">
        <v>52</v>
      </c>
      <c r="D98" t="s">
        <v>8</v>
      </c>
      <c r="E98" t="b">
        <v>0</v>
      </c>
      <c r="F98" s="1">
        <v>43381</v>
      </c>
      <c r="G98">
        <v>24</v>
      </c>
      <c r="H98">
        <v>191082</v>
      </c>
    </row>
    <row r="99" spans="1:8" x14ac:dyDescent="0.25">
      <c r="A99">
        <v>97</v>
      </c>
      <c r="B99">
        <v>9015</v>
      </c>
      <c r="C99">
        <v>59</v>
      </c>
      <c r="D99" t="s">
        <v>8</v>
      </c>
      <c r="E99" t="b">
        <v>0</v>
      </c>
      <c r="F99" s="1">
        <v>42924</v>
      </c>
      <c r="G99">
        <v>28</v>
      </c>
      <c r="H99">
        <v>225302</v>
      </c>
    </row>
    <row r="100" spans="1:8" x14ac:dyDescent="0.25">
      <c r="A100">
        <v>98</v>
      </c>
      <c r="B100">
        <v>1706</v>
      </c>
      <c r="C100">
        <v>40</v>
      </c>
      <c r="D100" t="s">
        <v>17</v>
      </c>
      <c r="E100" t="b">
        <v>0</v>
      </c>
      <c r="F100" t="s">
        <v>67</v>
      </c>
      <c r="G100">
        <v>18</v>
      </c>
      <c r="H100">
        <v>142093</v>
      </c>
    </row>
    <row r="101" spans="1:8" x14ac:dyDescent="0.25">
      <c r="A101">
        <v>99</v>
      </c>
      <c r="B101">
        <v>3873</v>
      </c>
      <c r="C101">
        <v>46</v>
      </c>
      <c r="D101" t="s">
        <v>17</v>
      </c>
      <c r="E101" t="b">
        <v>1</v>
      </c>
      <c r="F101" s="1">
        <v>38571</v>
      </c>
      <c r="G101">
        <v>19</v>
      </c>
      <c r="H101">
        <v>156162</v>
      </c>
    </row>
    <row r="102" spans="1:8" x14ac:dyDescent="0.25">
      <c r="A102">
        <v>100</v>
      </c>
      <c r="B102">
        <v>3229</v>
      </c>
      <c r="C102">
        <v>35</v>
      </c>
      <c r="D102" t="s">
        <v>10</v>
      </c>
      <c r="E102" t="b">
        <v>1</v>
      </c>
      <c r="F102" t="s">
        <v>68</v>
      </c>
      <c r="G102">
        <v>17</v>
      </c>
      <c r="H102">
        <v>134816</v>
      </c>
    </row>
    <row r="103" spans="1:8" x14ac:dyDescent="0.25">
      <c r="A103">
        <v>101</v>
      </c>
      <c r="B103">
        <v>6665</v>
      </c>
      <c r="C103">
        <v>40</v>
      </c>
      <c r="D103" t="s">
        <v>13</v>
      </c>
      <c r="E103" t="b">
        <v>0</v>
      </c>
      <c r="F103" t="s">
        <v>69</v>
      </c>
      <c r="G103">
        <v>15</v>
      </c>
      <c r="H103">
        <v>122745</v>
      </c>
    </row>
    <row r="104" spans="1:8" x14ac:dyDescent="0.25">
      <c r="A104">
        <v>102</v>
      </c>
      <c r="B104">
        <v>4680</v>
      </c>
      <c r="C104">
        <v>40</v>
      </c>
      <c r="D104" t="s">
        <v>13</v>
      </c>
      <c r="E104" t="b">
        <v>1</v>
      </c>
      <c r="F104" s="1">
        <v>30839</v>
      </c>
      <c r="G104">
        <v>24</v>
      </c>
      <c r="H104">
        <v>186453</v>
      </c>
    </row>
    <row r="105" spans="1:8" x14ac:dyDescent="0.25">
      <c r="A105">
        <v>103</v>
      </c>
      <c r="B105">
        <v>1002</v>
      </c>
      <c r="C105">
        <v>48</v>
      </c>
      <c r="D105" t="s">
        <v>17</v>
      </c>
      <c r="E105" t="b">
        <v>0</v>
      </c>
      <c r="F105" t="s">
        <v>70</v>
      </c>
      <c r="G105">
        <v>25</v>
      </c>
      <c r="H105">
        <v>199561</v>
      </c>
    </row>
    <row r="106" spans="1:8" x14ac:dyDescent="0.25">
      <c r="A106">
        <v>104</v>
      </c>
      <c r="B106">
        <v>1137</v>
      </c>
      <c r="C106">
        <v>54</v>
      </c>
      <c r="D106" t="s">
        <v>11</v>
      </c>
      <c r="E106" t="b">
        <v>1</v>
      </c>
      <c r="F106" t="s">
        <v>71</v>
      </c>
      <c r="G106">
        <v>25</v>
      </c>
      <c r="H106">
        <v>204293</v>
      </c>
    </row>
    <row r="107" spans="1:8" x14ac:dyDescent="0.25">
      <c r="A107">
        <v>105</v>
      </c>
      <c r="B107">
        <v>7922</v>
      </c>
      <c r="C107">
        <v>58</v>
      </c>
      <c r="D107" t="s">
        <v>13</v>
      </c>
      <c r="E107" t="b">
        <v>1</v>
      </c>
      <c r="F107" t="s">
        <v>72</v>
      </c>
      <c r="G107">
        <v>30</v>
      </c>
      <c r="H107">
        <v>242531</v>
      </c>
    </row>
    <row r="108" spans="1:8" x14ac:dyDescent="0.25">
      <c r="A108">
        <v>106</v>
      </c>
      <c r="B108">
        <v>3307</v>
      </c>
      <c r="C108">
        <v>25</v>
      </c>
      <c r="D108" t="s">
        <v>17</v>
      </c>
      <c r="E108" t="b">
        <v>1</v>
      </c>
      <c r="F108" s="1">
        <v>31933</v>
      </c>
      <c r="G108">
        <v>12</v>
      </c>
      <c r="H108">
        <v>103111</v>
      </c>
    </row>
    <row r="109" spans="1:8" x14ac:dyDescent="0.25">
      <c r="A109">
        <v>107</v>
      </c>
      <c r="B109">
        <v>8235</v>
      </c>
      <c r="C109">
        <v>53</v>
      </c>
      <c r="D109" t="s">
        <v>13</v>
      </c>
      <c r="E109" t="b">
        <v>1</v>
      </c>
      <c r="F109" t="s">
        <v>73</v>
      </c>
      <c r="G109">
        <v>30</v>
      </c>
      <c r="H109">
        <v>237496</v>
      </c>
    </row>
    <row r="110" spans="1:8" x14ac:dyDescent="0.25">
      <c r="A110">
        <v>108</v>
      </c>
      <c r="B110">
        <v>9113</v>
      </c>
      <c r="C110">
        <v>50</v>
      </c>
      <c r="D110" t="s">
        <v>10</v>
      </c>
      <c r="E110" t="b">
        <v>0</v>
      </c>
      <c r="F110" s="1">
        <v>44842</v>
      </c>
      <c r="G110">
        <v>24</v>
      </c>
      <c r="H110">
        <v>193765</v>
      </c>
    </row>
    <row r="111" spans="1:8" x14ac:dyDescent="0.25">
      <c r="A111">
        <v>109</v>
      </c>
      <c r="B111">
        <v>6545</v>
      </c>
      <c r="C111">
        <v>63</v>
      </c>
      <c r="D111" t="s">
        <v>13</v>
      </c>
      <c r="E111" t="b">
        <v>0</v>
      </c>
      <c r="F111" t="s">
        <v>74</v>
      </c>
      <c r="G111">
        <v>30</v>
      </c>
      <c r="H111">
        <v>240281</v>
      </c>
    </row>
    <row r="112" spans="1:8" x14ac:dyDescent="0.25">
      <c r="A112">
        <v>110</v>
      </c>
      <c r="B112">
        <v>4987</v>
      </c>
      <c r="C112">
        <v>54</v>
      </c>
      <c r="D112" t="s">
        <v>8</v>
      </c>
      <c r="E112" t="b">
        <v>0</v>
      </c>
      <c r="F112" t="s">
        <v>75</v>
      </c>
      <c r="G112">
        <v>22</v>
      </c>
      <c r="H112">
        <v>176659</v>
      </c>
    </row>
    <row r="113" spans="1:8" x14ac:dyDescent="0.25">
      <c r="A113">
        <v>111</v>
      </c>
      <c r="B113">
        <v>9111</v>
      </c>
      <c r="C113">
        <v>58</v>
      </c>
      <c r="D113" t="s">
        <v>17</v>
      </c>
      <c r="E113" t="b">
        <v>1</v>
      </c>
      <c r="F113" s="1">
        <v>31083</v>
      </c>
      <c r="G113">
        <v>30</v>
      </c>
      <c r="H113">
        <v>244973</v>
      </c>
    </row>
    <row r="114" spans="1:8" x14ac:dyDescent="0.25">
      <c r="A114">
        <v>112</v>
      </c>
      <c r="B114">
        <v>1061</v>
      </c>
      <c r="C114">
        <v>37</v>
      </c>
      <c r="D114" t="s">
        <v>10</v>
      </c>
      <c r="E114" t="b">
        <v>0</v>
      </c>
      <c r="F114" s="1">
        <v>30843</v>
      </c>
      <c r="G114">
        <v>20</v>
      </c>
      <c r="H114">
        <v>160566</v>
      </c>
    </row>
    <row r="115" spans="1:8" x14ac:dyDescent="0.25">
      <c r="A115">
        <v>113</v>
      </c>
      <c r="B115">
        <v>6101</v>
      </c>
      <c r="C115">
        <v>43</v>
      </c>
      <c r="D115" t="s">
        <v>17</v>
      </c>
      <c r="E115" t="b">
        <v>1</v>
      </c>
      <c r="F115" s="1">
        <v>39363</v>
      </c>
      <c r="G115">
        <v>23</v>
      </c>
      <c r="H115">
        <v>177312</v>
      </c>
    </row>
    <row r="116" spans="1:8" x14ac:dyDescent="0.25">
      <c r="A116">
        <v>114</v>
      </c>
      <c r="B116">
        <v>5338</v>
      </c>
      <c r="C116">
        <v>24</v>
      </c>
      <c r="D116" t="s">
        <v>11</v>
      </c>
      <c r="E116" t="b">
        <v>0</v>
      </c>
      <c r="F116" s="1">
        <v>42529</v>
      </c>
      <c r="G116">
        <v>12</v>
      </c>
      <c r="H116">
        <v>92967</v>
      </c>
    </row>
    <row r="117" spans="1:8" x14ac:dyDescent="0.25">
      <c r="A117">
        <v>115</v>
      </c>
      <c r="B117">
        <v>3697</v>
      </c>
      <c r="C117">
        <v>46</v>
      </c>
      <c r="D117" t="s">
        <v>11</v>
      </c>
      <c r="E117" t="b">
        <v>0</v>
      </c>
      <c r="F117" t="s">
        <v>76</v>
      </c>
      <c r="G117">
        <v>25</v>
      </c>
      <c r="H117">
        <v>208044</v>
      </c>
    </row>
    <row r="118" spans="1:8" x14ac:dyDescent="0.25">
      <c r="A118">
        <v>116</v>
      </c>
      <c r="B118">
        <v>6704</v>
      </c>
      <c r="C118">
        <v>60</v>
      </c>
      <c r="D118" t="s">
        <v>8</v>
      </c>
      <c r="E118" t="b">
        <v>0</v>
      </c>
      <c r="F118" s="1">
        <v>40513</v>
      </c>
      <c r="G118">
        <v>29</v>
      </c>
      <c r="H118">
        <v>225723</v>
      </c>
    </row>
    <row r="119" spans="1:8" x14ac:dyDescent="0.25">
      <c r="A119">
        <v>117</v>
      </c>
      <c r="B119">
        <v>1819</v>
      </c>
      <c r="C119">
        <v>61</v>
      </c>
      <c r="D119" t="s">
        <v>17</v>
      </c>
      <c r="E119" t="b">
        <v>0</v>
      </c>
      <c r="F119" s="1">
        <v>41031</v>
      </c>
      <c r="G119">
        <v>26</v>
      </c>
      <c r="H119">
        <v>208426</v>
      </c>
    </row>
    <row r="120" spans="1:8" x14ac:dyDescent="0.25">
      <c r="A120">
        <v>118</v>
      </c>
      <c r="B120">
        <v>4425</v>
      </c>
      <c r="C120">
        <v>61</v>
      </c>
      <c r="D120" t="s">
        <v>17</v>
      </c>
      <c r="E120" t="b">
        <v>0</v>
      </c>
      <c r="F120" t="s">
        <v>77</v>
      </c>
      <c r="G120">
        <v>35</v>
      </c>
      <c r="H120">
        <v>279946</v>
      </c>
    </row>
    <row r="121" spans="1:8" x14ac:dyDescent="0.25">
      <c r="A121">
        <v>119</v>
      </c>
      <c r="B121">
        <v>2499</v>
      </c>
      <c r="C121">
        <v>29</v>
      </c>
      <c r="D121" t="s">
        <v>8</v>
      </c>
      <c r="E121" t="b">
        <v>1</v>
      </c>
      <c r="F121" t="s">
        <v>78</v>
      </c>
      <c r="G121">
        <v>16</v>
      </c>
      <c r="H121">
        <v>129970</v>
      </c>
    </row>
    <row r="122" spans="1:8" x14ac:dyDescent="0.25">
      <c r="A122">
        <v>120</v>
      </c>
      <c r="B122">
        <v>4801</v>
      </c>
      <c r="C122">
        <v>54</v>
      </c>
      <c r="D122" t="s">
        <v>13</v>
      </c>
      <c r="E122" t="b">
        <v>0</v>
      </c>
      <c r="F122" s="1">
        <v>31324</v>
      </c>
      <c r="G122">
        <v>28</v>
      </c>
      <c r="H122">
        <v>225408</v>
      </c>
    </row>
    <row r="123" spans="1:8" x14ac:dyDescent="0.25">
      <c r="A123">
        <v>121</v>
      </c>
      <c r="B123">
        <v>8001</v>
      </c>
      <c r="C123">
        <v>32</v>
      </c>
      <c r="D123" t="s">
        <v>17</v>
      </c>
      <c r="E123" t="b">
        <v>0</v>
      </c>
      <c r="F123" t="s">
        <v>79</v>
      </c>
      <c r="G123">
        <v>16</v>
      </c>
      <c r="H123">
        <v>125760</v>
      </c>
    </row>
    <row r="124" spans="1:8" x14ac:dyDescent="0.25">
      <c r="A124">
        <v>122</v>
      </c>
      <c r="B124">
        <v>5263</v>
      </c>
      <c r="C124">
        <v>28</v>
      </c>
      <c r="D124" t="s">
        <v>10</v>
      </c>
      <c r="E124" t="b">
        <v>1</v>
      </c>
      <c r="F124" s="1">
        <v>38812</v>
      </c>
      <c r="G124">
        <v>12</v>
      </c>
      <c r="H124">
        <v>92056</v>
      </c>
    </row>
    <row r="125" spans="1:8" x14ac:dyDescent="0.25">
      <c r="A125">
        <v>123</v>
      </c>
      <c r="B125">
        <v>7486</v>
      </c>
      <c r="C125">
        <v>45</v>
      </c>
      <c r="D125" t="s">
        <v>17</v>
      </c>
      <c r="E125" t="b">
        <v>1</v>
      </c>
      <c r="F125" t="s">
        <v>80</v>
      </c>
      <c r="G125">
        <v>23</v>
      </c>
      <c r="H125">
        <v>186546</v>
      </c>
    </row>
    <row r="126" spans="1:8" x14ac:dyDescent="0.25">
      <c r="A126">
        <v>124</v>
      </c>
      <c r="B126">
        <v>3717</v>
      </c>
      <c r="C126">
        <v>58</v>
      </c>
      <c r="D126" t="s">
        <v>10</v>
      </c>
      <c r="E126" t="b">
        <v>0</v>
      </c>
      <c r="F126" s="1">
        <v>43987</v>
      </c>
      <c r="G126">
        <v>26</v>
      </c>
      <c r="H126">
        <v>215978</v>
      </c>
    </row>
    <row r="127" spans="1:8" x14ac:dyDescent="0.25">
      <c r="A127">
        <v>125</v>
      </c>
      <c r="B127">
        <v>1861</v>
      </c>
      <c r="C127">
        <v>48</v>
      </c>
      <c r="D127" t="s">
        <v>11</v>
      </c>
      <c r="E127" t="b">
        <v>1</v>
      </c>
      <c r="F127" s="1">
        <v>29040</v>
      </c>
      <c r="G127">
        <v>25</v>
      </c>
      <c r="H127">
        <v>185892</v>
      </c>
    </row>
    <row r="128" spans="1:8" x14ac:dyDescent="0.25">
      <c r="A128">
        <v>126</v>
      </c>
      <c r="B128">
        <v>1204</v>
      </c>
      <c r="C128">
        <v>40</v>
      </c>
      <c r="D128" t="s">
        <v>13</v>
      </c>
      <c r="E128" t="b">
        <v>0</v>
      </c>
      <c r="F128" s="1">
        <v>29931</v>
      </c>
      <c r="G128">
        <v>21</v>
      </c>
      <c r="H128">
        <v>158986</v>
      </c>
    </row>
    <row r="129" spans="1:8" x14ac:dyDescent="0.25">
      <c r="A129">
        <v>127</v>
      </c>
      <c r="B129">
        <v>8608</v>
      </c>
      <c r="C129">
        <v>55</v>
      </c>
      <c r="D129" t="s">
        <v>8</v>
      </c>
      <c r="E129" t="b">
        <v>1</v>
      </c>
      <c r="F129" s="1">
        <v>43223</v>
      </c>
      <c r="G129">
        <v>26</v>
      </c>
      <c r="H129">
        <v>202823</v>
      </c>
    </row>
    <row r="130" spans="1:8" x14ac:dyDescent="0.25">
      <c r="A130">
        <v>128</v>
      </c>
      <c r="B130">
        <v>9278</v>
      </c>
      <c r="C130">
        <v>56</v>
      </c>
      <c r="D130" t="s">
        <v>13</v>
      </c>
      <c r="E130" t="b">
        <v>0</v>
      </c>
      <c r="F130" t="s">
        <v>81</v>
      </c>
      <c r="G130">
        <v>25</v>
      </c>
      <c r="H130">
        <v>198549</v>
      </c>
    </row>
    <row r="131" spans="1:8" x14ac:dyDescent="0.25">
      <c r="A131">
        <v>129</v>
      </c>
      <c r="B131">
        <v>1084</v>
      </c>
      <c r="C131">
        <v>32</v>
      </c>
      <c r="D131" t="s">
        <v>10</v>
      </c>
      <c r="E131" t="b">
        <v>1</v>
      </c>
      <c r="F131" t="s">
        <v>82</v>
      </c>
      <c r="G131">
        <v>17</v>
      </c>
      <c r="H131">
        <v>142300</v>
      </c>
    </row>
    <row r="132" spans="1:8" x14ac:dyDescent="0.25">
      <c r="A132">
        <v>130</v>
      </c>
      <c r="B132">
        <v>3305</v>
      </c>
      <c r="C132">
        <v>63</v>
      </c>
      <c r="D132" t="s">
        <v>17</v>
      </c>
      <c r="E132" t="b">
        <v>1</v>
      </c>
      <c r="F132" t="s">
        <v>83</v>
      </c>
      <c r="G132">
        <v>29</v>
      </c>
      <c r="H132">
        <v>232577</v>
      </c>
    </row>
    <row r="133" spans="1:8" x14ac:dyDescent="0.25">
      <c r="A133">
        <v>131</v>
      </c>
      <c r="B133">
        <v>1262</v>
      </c>
      <c r="C133">
        <v>49</v>
      </c>
      <c r="D133" t="s">
        <v>8</v>
      </c>
      <c r="E133" t="b">
        <v>1</v>
      </c>
      <c r="F133" s="1">
        <v>37657</v>
      </c>
      <c r="G133">
        <v>24</v>
      </c>
      <c r="H133">
        <v>196293</v>
      </c>
    </row>
    <row r="134" spans="1:8" x14ac:dyDescent="0.25">
      <c r="A134">
        <v>132</v>
      </c>
      <c r="B134">
        <v>2478</v>
      </c>
      <c r="C134">
        <v>40</v>
      </c>
      <c r="D134" t="s">
        <v>11</v>
      </c>
      <c r="E134" t="b">
        <v>0</v>
      </c>
      <c r="F134" s="1">
        <v>40274</v>
      </c>
      <c r="G134">
        <v>23</v>
      </c>
      <c r="H134">
        <v>185268</v>
      </c>
    </row>
    <row r="135" spans="1:8" x14ac:dyDescent="0.25">
      <c r="A135">
        <v>133</v>
      </c>
      <c r="B135">
        <v>4357</v>
      </c>
      <c r="C135">
        <v>41</v>
      </c>
      <c r="D135" t="s">
        <v>8</v>
      </c>
      <c r="E135" t="b">
        <v>0</v>
      </c>
      <c r="F135" s="1">
        <v>42982</v>
      </c>
      <c r="G135">
        <v>20</v>
      </c>
      <c r="H135">
        <v>166636</v>
      </c>
    </row>
    <row r="136" spans="1:8" x14ac:dyDescent="0.25">
      <c r="A136">
        <v>134</v>
      </c>
      <c r="B136">
        <v>1802</v>
      </c>
      <c r="C136">
        <v>22</v>
      </c>
      <c r="D136" t="s">
        <v>8</v>
      </c>
      <c r="E136" t="b">
        <v>0</v>
      </c>
      <c r="F136" s="1">
        <v>32786</v>
      </c>
      <c r="G136">
        <v>12</v>
      </c>
      <c r="H136">
        <v>94300</v>
      </c>
    </row>
    <row r="137" spans="1:8" x14ac:dyDescent="0.25">
      <c r="A137">
        <v>135</v>
      </c>
      <c r="B137">
        <v>4666</v>
      </c>
      <c r="C137">
        <v>49</v>
      </c>
      <c r="D137" t="s">
        <v>11</v>
      </c>
      <c r="E137" t="b">
        <v>1</v>
      </c>
      <c r="F137" s="1">
        <v>41828</v>
      </c>
      <c r="G137">
        <v>25</v>
      </c>
      <c r="H137">
        <v>198827</v>
      </c>
    </row>
    <row r="138" spans="1:8" x14ac:dyDescent="0.25">
      <c r="A138">
        <v>136</v>
      </c>
      <c r="B138">
        <v>7327</v>
      </c>
      <c r="C138">
        <v>44</v>
      </c>
      <c r="D138" t="s">
        <v>8</v>
      </c>
      <c r="E138" t="b">
        <v>1</v>
      </c>
      <c r="F138" t="s">
        <v>84</v>
      </c>
      <c r="G138">
        <v>25</v>
      </c>
      <c r="H138">
        <v>190600</v>
      </c>
    </row>
    <row r="139" spans="1:8" x14ac:dyDescent="0.25">
      <c r="A139">
        <v>137</v>
      </c>
      <c r="B139">
        <v>5722</v>
      </c>
      <c r="C139">
        <v>43</v>
      </c>
      <c r="D139" t="s">
        <v>13</v>
      </c>
      <c r="E139" t="b">
        <v>1</v>
      </c>
      <c r="F139" t="s">
        <v>85</v>
      </c>
      <c r="G139">
        <v>24</v>
      </c>
      <c r="H139">
        <v>187430</v>
      </c>
    </row>
    <row r="140" spans="1:8" x14ac:dyDescent="0.25">
      <c r="A140">
        <v>138</v>
      </c>
      <c r="B140">
        <v>8172</v>
      </c>
      <c r="C140">
        <v>45</v>
      </c>
      <c r="D140" t="s">
        <v>8</v>
      </c>
      <c r="E140" t="b">
        <v>0</v>
      </c>
      <c r="F140" t="s">
        <v>86</v>
      </c>
      <c r="G140">
        <v>21</v>
      </c>
      <c r="H140">
        <v>166573</v>
      </c>
    </row>
    <row r="141" spans="1:8" x14ac:dyDescent="0.25">
      <c r="A141">
        <v>139</v>
      </c>
      <c r="B141">
        <v>2391</v>
      </c>
      <c r="C141">
        <v>49</v>
      </c>
      <c r="D141" t="s">
        <v>13</v>
      </c>
      <c r="E141" t="b">
        <v>1</v>
      </c>
      <c r="F141" s="1">
        <v>32974</v>
      </c>
      <c r="G141">
        <v>22</v>
      </c>
      <c r="H141">
        <v>176961</v>
      </c>
    </row>
    <row r="142" spans="1:8" x14ac:dyDescent="0.25">
      <c r="A142">
        <v>140</v>
      </c>
      <c r="B142">
        <v>3536</v>
      </c>
      <c r="C142">
        <v>54</v>
      </c>
      <c r="D142" t="s">
        <v>17</v>
      </c>
      <c r="E142" t="b">
        <v>1</v>
      </c>
      <c r="F142" t="s">
        <v>87</v>
      </c>
      <c r="G142">
        <v>25</v>
      </c>
      <c r="H142">
        <v>206014</v>
      </c>
    </row>
    <row r="143" spans="1:8" x14ac:dyDescent="0.25">
      <c r="A143">
        <v>141</v>
      </c>
      <c r="B143">
        <v>7770</v>
      </c>
      <c r="C143">
        <v>43</v>
      </c>
      <c r="D143" t="s">
        <v>10</v>
      </c>
      <c r="E143" t="b">
        <v>1</v>
      </c>
      <c r="F143" t="s">
        <v>88</v>
      </c>
      <c r="G143">
        <v>21</v>
      </c>
      <c r="H143">
        <v>167653</v>
      </c>
    </row>
    <row r="144" spans="1:8" x14ac:dyDescent="0.25">
      <c r="A144">
        <v>142</v>
      </c>
      <c r="B144">
        <v>1571</v>
      </c>
      <c r="C144">
        <v>34</v>
      </c>
      <c r="D144" t="s">
        <v>17</v>
      </c>
      <c r="E144" t="b">
        <v>0</v>
      </c>
      <c r="F144" s="1">
        <v>37775</v>
      </c>
      <c r="G144">
        <v>17</v>
      </c>
      <c r="H144">
        <v>138491</v>
      </c>
    </row>
    <row r="145" spans="1:8" x14ac:dyDescent="0.25">
      <c r="A145">
        <v>143</v>
      </c>
      <c r="B145">
        <v>2558</v>
      </c>
      <c r="C145">
        <v>29</v>
      </c>
      <c r="D145" t="s">
        <v>11</v>
      </c>
      <c r="E145" t="b">
        <v>1</v>
      </c>
      <c r="F145" t="s">
        <v>29</v>
      </c>
      <c r="G145">
        <v>14</v>
      </c>
      <c r="H145">
        <v>113663</v>
      </c>
    </row>
    <row r="146" spans="1:8" x14ac:dyDescent="0.25">
      <c r="A146">
        <v>144</v>
      </c>
      <c r="B146">
        <v>1197</v>
      </c>
      <c r="C146">
        <v>57</v>
      </c>
      <c r="D146" t="s">
        <v>10</v>
      </c>
      <c r="E146" t="b">
        <v>1</v>
      </c>
      <c r="F146" s="1">
        <v>38753</v>
      </c>
      <c r="G146">
        <v>25</v>
      </c>
      <c r="H146">
        <v>195286</v>
      </c>
    </row>
    <row r="147" spans="1:8" x14ac:dyDescent="0.25">
      <c r="A147">
        <v>145</v>
      </c>
      <c r="B147">
        <v>4842</v>
      </c>
      <c r="C147">
        <v>55</v>
      </c>
      <c r="D147" t="s">
        <v>10</v>
      </c>
      <c r="E147" t="b">
        <v>1</v>
      </c>
      <c r="F147" t="s">
        <v>89</v>
      </c>
      <c r="G147">
        <v>27</v>
      </c>
      <c r="H147">
        <v>215637</v>
      </c>
    </row>
    <row r="148" spans="1:8" x14ac:dyDescent="0.25">
      <c r="A148">
        <v>146</v>
      </c>
      <c r="B148">
        <v>1809</v>
      </c>
      <c r="C148">
        <v>43</v>
      </c>
      <c r="D148" t="s">
        <v>8</v>
      </c>
      <c r="E148" t="b">
        <v>1</v>
      </c>
      <c r="F148" s="1">
        <v>37049</v>
      </c>
      <c r="G148">
        <v>21</v>
      </c>
      <c r="H148">
        <v>170164</v>
      </c>
    </row>
    <row r="149" spans="1:8" x14ac:dyDescent="0.25">
      <c r="A149">
        <v>147</v>
      </c>
      <c r="B149">
        <v>2304</v>
      </c>
      <c r="C149">
        <v>57</v>
      </c>
      <c r="D149" t="s">
        <v>11</v>
      </c>
      <c r="E149" t="b">
        <v>0</v>
      </c>
      <c r="F149" t="s">
        <v>90</v>
      </c>
      <c r="G149">
        <v>30</v>
      </c>
      <c r="H149">
        <v>240851</v>
      </c>
    </row>
    <row r="150" spans="1:8" x14ac:dyDescent="0.25">
      <c r="A150">
        <v>148</v>
      </c>
      <c r="B150">
        <v>2759</v>
      </c>
      <c r="C150">
        <v>24</v>
      </c>
      <c r="D150" t="s">
        <v>17</v>
      </c>
      <c r="E150" t="b">
        <v>0</v>
      </c>
      <c r="F150" t="s">
        <v>91</v>
      </c>
      <c r="G150">
        <v>9</v>
      </c>
      <c r="H150">
        <v>78650</v>
      </c>
    </row>
    <row r="151" spans="1:8" x14ac:dyDescent="0.25">
      <c r="A151">
        <v>149</v>
      </c>
      <c r="B151">
        <v>8278</v>
      </c>
      <c r="C151">
        <v>25</v>
      </c>
      <c r="D151" t="s">
        <v>10</v>
      </c>
      <c r="E151" t="b">
        <v>1</v>
      </c>
      <c r="F151" s="1">
        <v>30995</v>
      </c>
      <c r="G151">
        <v>13</v>
      </c>
      <c r="H151">
        <v>101767</v>
      </c>
    </row>
    <row r="152" spans="1:8" x14ac:dyDescent="0.25">
      <c r="A152">
        <v>150</v>
      </c>
      <c r="B152">
        <v>3797</v>
      </c>
      <c r="C152">
        <v>57</v>
      </c>
      <c r="D152" t="s">
        <v>11</v>
      </c>
      <c r="E152" t="b">
        <v>0</v>
      </c>
      <c r="F152" t="s">
        <v>92</v>
      </c>
      <c r="G152">
        <v>30</v>
      </c>
      <c r="H152">
        <v>237787</v>
      </c>
    </row>
    <row r="153" spans="1:8" x14ac:dyDescent="0.25">
      <c r="A153">
        <v>151</v>
      </c>
      <c r="B153">
        <v>1475</v>
      </c>
      <c r="C153">
        <v>33</v>
      </c>
      <c r="D153" t="s">
        <v>11</v>
      </c>
      <c r="E153" t="b">
        <v>0</v>
      </c>
      <c r="F153" t="s">
        <v>93</v>
      </c>
      <c r="G153">
        <v>15</v>
      </c>
      <c r="H153">
        <v>120289</v>
      </c>
    </row>
    <row r="154" spans="1:8" x14ac:dyDescent="0.25">
      <c r="A154">
        <v>152</v>
      </c>
      <c r="B154">
        <v>4165</v>
      </c>
      <c r="C154">
        <v>59</v>
      </c>
      <c r="D154" t="s">
        <v>13</v>
      </c>
      <c r="E154" t="b">
        <v>1</v>
      </c>
      <c r="F154" t="s">
        <v>94</v>
      </c>
      <c r="G154">
        <v>29</v>
      </c>
      <c r="H154">
        <v>229854</v>
      </c>
    </row>
    <row r="155" spans="1:8" x14ac:dyDescent="0.25">
      <c r="A155">
        <v>153</v>
      </c>
      <c r="B155">
        <v>3292</v>
      </c>
      <c r="C155">
        <v>33</v>
      </c>
      <c r="D155" t="s">
        <v>17</v>
      </c>
      <c r="E155" t="b">
        <v>0</v>
      </c>
      <c r="F155" s="1">
        <v>42923</v>
      </c>
      <c r="G155">
        <v>16</v>
      </c>
      <c r="H155">
        <v>140462</v>
      </c>
    </row>
    <row r="156" spans="1:8" x14ac:dyDescent="0.25">
      <c r="A156">
        <v>154</v>
      </c>
      <c r="B156">
        <v>1740</v>
      </c>
      <c r="C156">
        <v>35</v>
      </c>
      <c r="D156" t="s">
        <v>10</v>
      </c>
      <c r="E156" t="b">
        <v>1</v>
      </c>
      <c r="F156" t="s">
        <v>95</v>
      </c>
      <c r="G156">
        <v>17</v>
      </c>
      <c r="H156">
        <v>137966</v>
      </c>
    </row>
    <row r="157" spans="1:8" x14ac:dyDescent="0.25">
      <c r="A157">
        <v>155</v>
      </c>
      <c r="B157">
        <v>5139</v>
      </c>
      <c r="C157">
        <v>48</v>
      </c>
      <c r="D157" t="s">
        <v>13</v>
      </c>
      <c r="E157" t="b">
        <v>1</v>
      </c>
      <c r="F157" t="s">
        <v>96</v>
      </c>
      <c r="G157">
        <v>26</v>
      </c>
      <c r="H157">
        <v>198685</v>
      </c>
    </row>
    <row r="158" spans="1:8" x14ac:dyDescent="0.25">
      <c r="A158">
        <v>156</v>
      </c>
      <c r="B158">
        <v>4522</v>
      </c>
      <c r="C158">
        <v>31</v>
      </c>
      <c r="D158" t="s">
        <v>11</v>
      </c>
      <c r="E158" t="b">
        <v>0</v>
      </c>
      <c r="F158" t="s">
        <v>97</v>
      </c>
      <c r="G158">
        <v>13</v>
      </c>
      <c r="H158">
        <v>97639</v>
      </c>
    </row>
    <row r="159" spans="1:8" x14ac:dyDescent="0.25">
      <c r="A159">
        <v>157</v>
      </c>
      <c r="B159">
        <v>2227</v>
      </c>
      <c r="C159">
        <v>51</v>
      </c>
      <c r="D159" t="s">
        <v>10</v>
      </c>
      <c r="E159" t="b">
        <v>1</v>
      </c>
      <c r="F159" t="s">
        <v>98</v>
      </c>
      <c r="G159">
        <v>27</v>
      </c>
      <c r="H159">
        <v>213234</v>
      </c>
    </row>
    <row r="160" spans="1:8" x14ac:dyDescent="0.25">
      <c r="A160">
        <v>158</v>
      </c>
      <c r="B160">
        <v>1859</v>
      </c>
      <c r="C160">
        <v>58</v>
      </c>
      <c r="D160" t="s">
        <v>8</v>
      </c>
      <c r="E160" t="b">
        <v>1</v>
      </c>
      <c r="F160" s="1">
        <v>42406</v>
      </c>
      <c r="G160">
        <v>27</v>
      </c>
      <c r="H160">
        <v>223033</v>
      </c>
    </row>
    <row r="161" spans="1:8" x14ac:dyDescent="0.25">
      <c r="A161">
        <v>159</v>
      </c>
      <c r="B161">
        <v>9580</v>
      </c>
      <c r="C161">
        <v>57</v>
      </c>
      <c r="D161" t="s">
        <v>8</v>
      </c>
      <c r="E161" t="b">
        <v>0</v>
      </c>
      <c r="F161" s="1">
        <v>37324</v>
      </c>
      <c r="G161">
        <v>30</v>
      </c>
      <c r="H161">
        <v>234249</v>
      </c>
    </row>
    <row r="162" spans="1:8" x14ac:dyDescent="0.25">
      <c r="A162">
        <v>160</v>
      </c>
      <c r="B162">
        <v>7166</v>
      </c>
      <c r="C162">
        <v>45</v>
      </c>
      <c r="D162" t="s">
        <v>13</v>
      </c>
      <c r="E162" t="b">
        <v>1</v>
      </c>
      <c r="F162" s="1">
        <v>27675</v>
      </c>
      <c r="G162">
        <v>21</v>
      </c>
      <c r="H162">
        <v>172147</v>
      </c>
    </row>
    <row r="163" spans="1:8" x14ac:dyDescent="0.25">
      <c r="A163">
        <v>161</v>
      </c>
      <c r="B163">
        <v>2383</v>
      </c>
      <c r="C163">
        <v>35</v>
      </c>
      <c r="D163" t="s">
        <v>13</v>
      </c>
      <c r="E163" t="b">
        <v>1</v>
      </c>
      <c r="F163" t="s">
        <v>99</v>
      </c>
      <c r="G163">
        <v>14</v>
      </c>
      <c r="H163">
        <v>110715</v>
      </c>
    </row>
    <row r="164" spans="1:8" x14ac:dyDescent="0.25">
      <c r="A164">
        <v>162</v>
      </c>
      <c r="B164">
        <v>7950</v>
      </c>
      <c r="C164">
        <v>50</v>
      </c>
      <c r="D164" t="s">
        <v>17</v>
      </c>
      <c r="E164" t="b">
        <v>1</v>
      </c>
      <c r="F164" s="1">
        <v>33727</v>
      </c>
      <c r="G164">
        <v>23</v>
      </c>
      <c r="H164">
        <v>181074</v>
      </c>
    </row>
    <row r="165" spans="1:8" x14ac:dyDescent="0.25">
      <c r="A165">
        <v>163</v>
      </c>
      <c r="B165">
        <v>5231</v>
      </c>
      <c r="C165">
        <v>48</v>
      </c>
      <c r="D165" t="s">
        <v>17</v>
      </c>
      <c r="E165" t="b">
        <v>1</v>
      </c>
      <c r="F165" t="s">
        <v>100</v>
      </c>
      <c r="G165">
        <v>22</v>
      </c>
      <c r="H165">
        <v>172103</v>
      </c>
    </row>
    <row r="166" spans="1:8" x14ac:dyDescent="0.25">
      <c r="A166">
        <v>164</v>
      </c>
      <c r="B166">
        <v>3709</v>
      </c>
      <c r="C166">
        <v>32</v>
      </c>
      <c r="D166" t="s">
        <v>17</v>
      </c>
      <c r="E166" t="b">
        <v>0</v>
      </c>
      <c r="F166" s="1">
        <v>29953</v>
      </c>
      <c r="G166">
        <v>15</v>
      </c>
      <c r="H166">
        <v>121991</v>
      </c>
    </row>
    <row r="167" spans="1:8" x14ac:dyDescent="0.25">
      <c r="A167">
        <v>165</v>
      </c>
      <c r="B167">
        <v>5077</v>
      </c>
      <c r="C167">
        <v>49</v>
      </c>
      <c r="D167" t="s">
        <v>8</v>
      </c>
      <c r="E167" t="b">
        <v>0</v>
      </c>
      <c r="F167" t="s">
        <v>101</v>
      </c>
      <c r="G167">
        <v>20</v>
      </c>
      <c r="H167">
        <v>174787</v>
      </c>
    </row>
    <row r="168" spans="1:8" x14ac:dyDescent="0.25">
      <c r="A168">
        <v>166</v>
      </c>
      <c r="B168">
        <v>8159</v>
      </c>
      <c r="C168">
        <v>52</v>
      </c>
      <c r="D168" t="s">
        <v>17</v>
      </c>
      <c r="E168" t="b">
        <v>0</v>
      </c>
      <c r="F168" t="s">
        <v>102</v>
      </c>
      <c r="G168">
        <v>25</v>
      </c>
      <c r="H168">
        <v>200675</v>
      </c>
    </row>
    <row r="169" spans="1:8" x14ac:dyDescent="0.25">
      <c r="A169">
        <v>167</v>
      </c>
      <c r="B169">
        <v>2327</v>
      </c>
      <c r="C169">
        <v>35</v>
      </c>
      <c r="D169" t="s">
        <v>13</v>
      </c>
      <c r="E169" t="b">
        <v>0</v>
      </c>
      <c r="F169" t="s">
        <v>103</v>
      </c>
      <c r="G169">
        <v>17</v>
      </c>
      <c r="H169">
        <v>144719</v>
      </c>
    </row>
    <row r="170" spans="1:8" x14ac:dyDescent="0.25">
      <c r="A170">
        <v>168</v>
      </c>
      <c r="B170">
        <v>8869</v>
      </c>
      <c r="C170">
        <v>51</v>
      </c>
      <c r="D170" t="s">
        <v>11</v>
      </c>
      <c r="E170" t="b">
        <v>0</v>
      </c>
      <c r="F170" t="s">
        <v>104</v>
      </c>
      <c r="G170">
        <v>25</v>
      </c>
      <c r="H170">
        <v>198755</v>
      </c>
    </row>
    <row r="171" spans="1:8" x14ac:dyDescent="0.25">
      <c r="A171">
        <v>169</v>
      </c>
      <c r="B171">
        <v>1184</v>
      </c>
      <c r="C171">
        <v>44</v>
      </c>
      <c r="D171" t="s">
        <v>13</v>
      </c>
      <c r="E171" t="b">
        <v>1</v>
      </c>
      <c r="F171" s="1">
        <v>35923</v>
      </c>
      <c r="G171">
        <v>19</v>
      </c>
      <c r="H171">
        <v>150320</v>
      </c>
    </row>
    <row r="172" spans="1:8" x14ac:dyDescent="0.25">
      <c r="A172">
        <v>170</v>
      </c>
      <c r="B172">
        <v>5290</v>
      </c>
      <c r="C172">
        <v>52</v>
      </c>
      <c r="D172" t="s">
        <v>11</v>
      </c>
      <c r="E172" t="b">
        <v>1</v>
      </c>
      <c r="F172" t="s">
        <v>105</v>
      </c>
      <c r="G172">
        <v>25</v>
      </c>
      <c r="H172">
        <v>196697</v>
      </c>
    </row>
    <row r="173" spans="1:8" x14ac:dyDescent="0.25">
      <c r="A173">
        <v>171</v>
      </c>
      <c r="B173">
        <v>3041</v>
      </c>
      <c r="C173">
        <v>29</v>
      </c>
      <c r="D173" t="s">
        <v>8</v>
      </c>
      <c r="E173" t="b">
        <v>1</v>
      </c>
      <c r="F173" t="s">
        <v>106</v>
      </c>
      <c r="G173">
        <v>16</v>
      </c>
      <c r="H173">
        <v>133598</v>
      </c>
    </row>
    <row r="174" spans="1:8" x14ac:dyDescent="0.25">
      <c r="A174">
        <v>172</v>
      </c>
      <c r="B174">
        <v>3995</v>
      </c>
      <c r="C174">
        <v>38</v>
      </c>
      <c r="D174" t="s">
        <v>13</v>
      </c>
      <c r="E174" t="b">
        <v>0</v>
      </c>
      <c r="F174" t="s">
        <v>107</v>
      </c>
      <c r="G174">
        <v>18</v>
      </c>
      <c r="H174">
        <v>152005</v>
      </c>
    </row>
    <row r="175" spans="1:8" x14ac:dyDescent="0.25">
      <c r="A175">
        <v>173</v>
      </c>
      <c r="B175">
        <v>3870</v>
      </c>
      <c r="C175">
        <v>30</v>
      </c>
      <c r="D175" t="s">
        <v>17</v>
      </c>
      <c r="E175" t="b">
        <v>1</v>
      </c>
      <c r="F175" s="1">
        <v>32602</v>
      </c>
      <c r="G175">
        <v>17</v>
      </c>
      <c r="H175">
        <v>127810</v>
      </c>
    </row>
    <row r="176" spans="1:8" x14ac:dyDescent="0.25">
      <c r="A176">
        <v>174</v>
      </c>
      <c r="B176">
        <v>7949</v>
      </c>
      <c r="C176">
        <v>59</v>
      </c>
      <c r="D176" t="s">
        <v>13</v>
      </c>
      <c r="E176" t="b">
        <v>0</v>
      </c>
      <c r="F176" t="s">
        <v>108</v>
      </c>
      <c r="G176">
        <v>31</v>
      </c>
      <c r="H176">
        <v>245029</v>
      </c>
    </row>
    <row r="177" spans="1:8" x14ac:dyDescent="0.25">
      <c r="A177">
        <v>175</v>
      </c>
      <c r="B177">
        <v>3635</v>
      </c>
      <c r="C177">
        <v>40</v>
      </c>
      <c r="D177" t="s">
        <v>10</v>
      </c>
      <c r="E177" t="b">
        <v>1</v>
      </c>
      <c r="F177" s="1">
        <v>44171</v>
      </c>
      <c r="G177">
        <v>20</v>
      </c>
      <c r="H177">
        <v>159567</v>
      </c>
    </row>
    <row r="178" spans="1:8" x14ac:dyDescent="0.25">
      <c r="A178">
        <v>176</v>
      </c>
      <c r="B178">
        <v>5679</v>
      </c>
      <c r="C178">
        <v>38</v>
      </c>
      <c r="D178" t="s">
        <v>11</v>
      </c>
      <c r="E178" t="b">
        <v>1</v>
      </c>
      <c r="F178" t="s">
        <v>109</v>
      </c>
      <c r="G178">
        <v>20</v>
      </c>
      <c r="H178">
        <v>165488</v>
      </c>
    </row>
    <row r="179" spans="1:8" x14ac:dyDescent="0.25">
      <c r="A179">
        <v>177</v>
      </c>
      <c r="B179">
        <v>5525</v>
      </c>
      <c r="C179">
        <v>36</v>
      </c>
      <c r="D179" t="s">
        <v>11</v>
      </c>
      <c r="E179" t="b">
        <v>0</v>
      </c>
      <c r="F179" t="s">
        <v>110</v>
      </c>
      <c r="G179">
        <v>18</v>
      </c>
      <c r="H179">
        <v>144373</v>
      </c>
    </row>
    <row r="180" spans="1:8" x14ac:dyDescent="0.25">
      <c r="A180">
        <v>178</v>
      </c>
      <c r="B180">
        <v>9645</v>
      </c>
      <c r="C180">
        <v>52</v>
      </c>
      <c r="D180" t="s">
        <v>8</v>
      </c>
      <c r="E180" t="b">
        <v>0</v>
      </c>
      <c r="F180" s="1">
        <v>29682</v>
      </c>
      <c r="G180">
        <v>25</v>
      </c>
      <c r="H180">
        <v>209113</v>
      </c>
    </row>
    <row r="181" spans="1:8" x14ac:dyDescent="0.25">
      <c r="A181">
        <v>179</v>
      </c>
      <c r="B181">
        <v>9968</v>
      </c>
      <c r="C181">
        <v>62</v>
      </c>
      <c r="D181" t="s">
        <v>17</v>
      </c>
      <c r="E181" t="b">
        <v>1</v>
      </c>
      <c r="F181" t="s">
        <v>111</v>
      </c>
      <c r="G181">
        <v>29</v>
      </c>
      <c r="H181">
        <v>230159</v>
      </c>
    </row>
    <row r="182" spans="1:8" x14ac:dyDescent="0.25">
      <c r="A182">
        <v>180</v>
      </c>
      <c r="B182">
        <v>3953</v>
      </c>
      <c r="C182">
        <v>62</v>
      </c>
      <c r="D182" t="s">
        <v>11</v>
      </c>
      <c r="E182" t="b">
        <v>1</v>
      </c>
      <c r="F182" t="s">
        <v>112</v>
      </c>
      <c r="G182">
        <v>32</v>
      </c>
      <c r="H182">
        <v>242948</v>
      </c>
    </row>
    <row r="183" spans="1:8" x14ac:dyDescent="0.25">
      <c r="A183">
        <v>181</v>
      </c>
      <c r="B183">
        <v>4758</v>
      </c>
      <c r="C183">
        <v>42</v>
      </c>
      <c r="D183" t="s">
        <v>13</v>
      </c>
      <c r="E183" t="b">
        <v>0</v>
      </c>
      <c r="F183" t="s">
        <v>113</v>
      </c>
      <c r="G183">
        <v>22</v>
      </c>
      <c r="H183">
        <v>181627</v>
      </c>
    </row>
    <row r="184" spans="1:8" x14ac:dyDescent="0.25">
      <c r="A184">
        <v>182</v>
      </c>
      <c r="B184">
        <v>7427</v>
      </c>
      <c r="C184">
        <v>48</v>
      </c>
      <c r="D184" t="s">
        <v>17</v>
      </c>
      <c r="E184" t="b">
        <v>0</v>
      </c>
      <c r="F184" t="s">
        <v>114</v>
      </c>
      <c r="G184">
        <v>24</v>
      </c>
      <c r="H184">
        <v>185708</v>
      </c>
    </row>
    <row r="185" spans="1:8" x14ac:dyDescent="0.25">
      <c r="A185">
        <v>183</v>
      </c>
      <c r="B185">
        <v>8999</v>
      </c>
      <c r="C185">
        <v>28</v>
      </c>
      <c r="D185" t="s">
        <v>11</v>
      </c>
      <c r="E185" t="b">
        <v>1</v>
      </c>
      <c r="F185" s="1">
        <v>42654</v>
      </c>
      <c r="G185">
        <v>14</v>
      </c>
      <c r="H185">
        <v>111947</v>
      </c>
    </row>
    <row r="186" spans="1:8" x14ac:dyDescent="0.25">
      <c r="A186">
        <v>184</v>
      </c>
      <c r="B186">
        <v>7658</v>
      </c>
      <c r="C186">
        <v>53</v>
      </c>
      <c r="D186" t="s">
        <v>17</v>
      </c>
      <c r="E186" t="b">
        <v>0</v>
      </c>
      <c r="F186" s="1">
        <v>26786</v>
      </c>
      <c r="G186">
        <v>26</v>
      </c>
      <c r="H186">
        <v>201058</v>
      </c>
    </row>
    <row r="187" spans="1:8" x14ac:dyDescent="0.25">
      <c r="A187">
        <v>185</v>
      </c>
      <c r="B187">
        <v>4734</v>
      </c>
      <c r="C187">
        <v>42</v>
      </c>
      <c r="D187" t="s">
        <v>11</v>
      </c>
      <c r="E187" t="b">
        <v>1</v>
      </c>
      <c r="F187" t="s">
        <v>115</v>
      </c>
      <c r="G187">
        <v>21</v>
      </c>
      <c r="H187">
        <v>168451</v>
      </c>
    </row>
    <row r="188" spans="1:8" x14ac:dyDescent="0.25">
      <c r="A188">
        <v>186</v>
      </c>
      <c r="B188">
        <v>7336</v>
      </c>
      <c r="C188">
        <v>22</v>
      </c>
      <c r="D188" t="s">
        <v>10</v>
      </c>
      <c r="E188" t="b">
        <v>1</v>
      </c>
      <c r="F188" t="s">
        <v>116</v>
      </c>
      <c r="G188">
        <v>8</v>
      </c>
      <c r="H188">
        <v>57732</v>
      </c>
    </row>
    <row r="189" spans="1:8" x14ac:dyDescent="0.25">
      <c r="A189">
        <v>187</v>
      </c>
      <c r="B189">
        <v>4024</v>
      </c>
      <c r="C189">
        <v>46</v>
      </c>
      <c r="D189" t="s">
        <v>13</v>
      </c>
      <c r="E189" t="b">
        <v>1</v>
      </c>
      <c r="F189" t="s">
        <v>117</v>
      </c>
      <c r="G189">
        <v>25</v>
      </c>
      <c r="H189">
        <v>197413</v>
      </c>
    </row>
    <row r="190" spans="1:8" x14ac:dyDescent="0.25">
      <c r="A190">
        <v>188</v>
      </c>
      <c r="B190">
        <v>7752</v>
      </c>
      <c r="C190">
        <v>30</v>
      </c>
      <c r="D190" t="s">
        <v>11</v>
      </c>
      <c r="E190" t="b">
        <v>0</v>
      </c>
      <c r="F190" t="s">
        <v>118</v>
      </c>
      <c r="G190">
        <v>16</v>
      </c>
      <c r="H190">
        <v>121722</v>
      </c>
    </row>
    <row r="191" spans="1:8" x14ac:dyDescent="0.25">
      <c r="A191">
        <v>189</v>
      </c>
      <c r="B191">
        <v>9981</v>
      </c>
      <c r="C191">
        <v>30</v>
      </c>
      <c r="D191" t="s">
        <v>13</v>
      </c>
      <c r="E191" t="b">
        <v>1</v>
      </c>
      <c r="F191" t="s">
        <v>119</v>
      </c>
      <c r="G191">
        <v>18</v>
      </c>
      <c r="H191">
        <v>152895</v>
      </c>
    </row>
    <row r="192" spans="1:8" x14ac:dyDescent="0.25">
      <c r="A192">
        <v>190</v>
      </c>
      <c r="B192">
        <v>2003</v>
      </c>
      <c r="C192">
        <v>30</v>
      </c>
      <c r="D192" t="s">
        <v>8</v>
      </c>
      <c r="E192" t="b">
        <v>0</v>
      </c>
      <c r="F192" t="s">
        <v>120</v>
      </c>
      <c r="G192">
        <v>14</v>
      </c>
      <c r="H192">
        <v>117925</v>
      </c>
    </row>
    <row r="193" spans="1:8" x14ac:dyDescent="0.25">
      <c r="A193">
        <v>191</v>
      </c>
      <c r="B193">
        <v>9689</v>
      </c>
      <c r="C193">
        <v>56</v>
      </c>
      <c r="D193" t="s">
        <v>13</v>
      </c>
      <c r="E193" t="b">
        <v>1</v>
      </c>
      <c r="F193" s="1">
        <v>33639</v>
      </c>
      <c r="G193">
        <v>24</v>
      </c>
      <c r="H193">
        <v>193844</v>
      </c>
    </row>
    <row r="194" spans="1:8" x14ac:dyDescent="0.25">
      <c r="A194">
        <v>192</v>
      </c>
      <c r="B194">
        <v>2869</v>
      </c>
      <c r="C194">
        <v>30</v>
      </c>
      <c r="D194" t="s">
        <v>17</v>
      </c>
      <c r="E194" t="b">
        <v>1</v>
      </c>
      <c r="F194" s="1">
        <v>26001</v>
      </c>
      <c r="G194">
        <v>14</v>
      </c>
      <c r="H194">
        <v>121879</v>
      </c>
    </row>
    <row r="195" spans="1:8" x14ac:dyDescent="0.25">
      <c r="A195">
        <v>193</v>
      </c>
      <c r="B195">
        <v>9133</v>
      </c>
      <c r="C195">
        <v>41</v>
      </c>
      <c r="D195" t="s">
        <v>11</v>
      </c>
      <c r="E195" t="b">
        <v>1</v>
      </c>
      <c r="F195" s="1">
        <v>38665</v>
      </c>
      <c r="G195">
        <v>22</v>
      </c>
      <c r="H195">
        <v>176397</v>
      </c>
    </row>
    <row r="196" spans="1:8" x14ac:dyDescent="0.25">
      <c r="A196">
        <v>194</v>
      </c>
      <c r="B196">
        <v>5618</v>
      </c>
      <c r="C196">
        <v>58</v>
      </c>
      <c r="D196" t="s">
        <v>17</v>
      </c>
      <c r="E196" t="b">
        <v>1</v>
      </c>
      <c r="F196" s="1">
        <v>33756</v>
      </c>
      <c r="G196">
        <v>31</v>
      </c>
      <c r="H196">
        <v>250658</v>
      </c>
    </row>
    <row r="197" spans="1:8" x14ac:dyDescent="0.25">
      <c r="A197">
        <v>195</v>
      </c>
      <c r="B197">
        <v>2310</v>
      </c>
      <c r="C197">
        <v>47</v>
      </c>
      <c r="D197" t="s">
        <v>13</v>
      </c>
      <c r="E197" t="b">
        <v>0</v>
      </c>
      <c r="F197" s="1">
        <v>29657</v>
      </c>
      <c r="G197">
        <v>22</v>
      </c>
      <c r="H197">
        <v>176752</v>
      </c>
    </row>
    <row r="198" spans="1:8" x14ac:dyDescent="0.25">
      <c r="A198">
        <v>196</v>
      </c>
      <c r="B198">
        <v>9025</v>
      </c>
      <c r="C198">
        <v>32</v>
      </c>
      <c r="D198" t="s">
        <v>11</v>
      </c>
      <c r="E198" t="b">
        <v>1</v>
      </c>
      <c r="F198" t="s">
        <v>121</v>
      </c>
      <c r="G198">
        <v>15</v>
      </c>
      <c r="H198">
        <v>123319</v>
      </c>
    </row>
    <row r="199" spans="1:8" x14ac:dyDescent="0.25">
      <c r="A199">
        <v>197</v>
      </c>
      <c r="B199">
        <v>2227</v>
      </c>
      <c r="C199">
        <v>60</v>
      </c>
      <c r="D199" t="s">
        <v>11</v>
      </c>
      <c r="E199" t="b">
        <v>1</v>
      </c>
      <c r="F199" t="s">
        <v>122</v>
      </c>
      <c r="G199">
        <v>32</v>
      </c>
      <c r="H199">
        <v>258573</v>
      </c>
    </row>
    <row r="200" spans="1:8" x14ac:dyDescent="0.25">
      <c r="A200">
        <v>198</v>
      </c>
      <c r="B200">
        <v>2996</v>
      </c>
      <c r="C200">
        <v>42</v>
      </c>
      <c r="D200" t="s">
        <v>8</v>
      </c>
      <c r="E200" t="b">
        <v>0</v>
      </c>
      <c r="F200" t="s">
        <v>123</v>
      </c>
      <c r="G200">
        <v>19</v>
      </c>
      <c r="H200">
        <v>150946</v>
      </c>
    </row>
    <row r="201" spans="1:8" x14ac:dyDescent="0.25">
      <c r="A201">
        <v>199</v>
      </c>
      <c r="B201">
        <v>3003</v>
      </c>
      <c r="C201">
        <v>25</v>
      </c>
      <c r="D201" t="s">
        <v>13</v>
      </c>
      <c r="E201" t="b">
        <v>1</v>
      </c>
      <c r="F201" t="s">
        <v>124</v>
      </c>
      <c r="G201">
        <v>14</v>
      </c>
      <c r="H201">
        <v>114361</v>
      </c>
    </row>
    <row r="202" spans="1:8" x14ac:dyDescent="0.25">
      <c r="A202">
        <v>200</v>
      </c>
      <c r="B202">
        <v>7608</v>
      </c>
      <c r="C202">
        <v>63</v>
      </c>
      <c r="D202" t="s">
        <v>17</v>
      </c>
      <c r="E202" t="b">
        <v>1</v>
      </c>
      <c r="F202" t="s">
        <v>125</v>
      </c>
      <c r="G202">
        <v>32</v>
      </c>
      <c r="H202">
        <v>257944</v>
      </c>
    </row>
    <row r="203" spans="1:8" x14ac:dyDescent="0.25">
      <c r="A203">
        <v>201</v>
      </c>
      <c r="B203">
        <v>1121</v>
      </c>
      <c r="C203">
        <v>22</v>
      </c>
      <c r="D203" t="s">
        <v>17</v>
      </c>
      <c r="E203" t="b">
        <v>0</v>
      </c>
      <c r="F203" s="1">
        <v>30355</v>
      </c>
      <c r="G203">
        <v>12</v>
      </c>
      <c r="H203">
        <v>91127</v>
      </c>
    </row>
    <row r="204" spans="1:8" x14ac:dyDescent="0.25">
      <c r="A204">
        <v>202</v>
      </c>
      <c r="B204">
        <v>1838</v>
      </c>
      <c r="C204">
        <v>64</v>
      </c>
      <c r="D204" t="s">
        <v>13</v>
      </c>
      <c r="E204" t="b">
        <v>1</v>
      </c>
      <c r="F204" t="s">
        <v>126</v>
      </c>
      <c r="G204">
        <v>34</v>
      </c>
      <c r="H204">
        <v>273400</v>
      </c>
    </row>
    <row r="205" spans="1:8" x14ac:dyDescent="0.25">
      <c r="A205">
        <v>203</v>
      </c>
      <c r="B205">
        <v>6586</v>
      </c>
      <c r="C205">
        <v>46</v>
      </c>
      <c r="D205" t="s">
        <v>13</v>
      </c>
      <c r="E205" t="b">
        <v>1</v>
      </c>
      <c r="F205" s="1">
        <v>26883</v>
      </c>
      <c r="G205">
        <v>25</v>
      </c>
      <c r="H205">
        <v>196459</v>
      </c>
    </row>
    <row r="206" spans="1:8" x14ac:dyDescent="0.25">
      <c r="A206">
        <v>204</v>
      </c>
      <c r="B206">
        <v>4148</v>
      </c>
      <c r="C206">
        <v>34</v>
      </c>
      <c r="D206" t="s">
        <v>11</v>
      </c>
      <c r="E206" t="b">
        <v>0</v>
      </c>
      <c r="F206" s="1">
        <v>41923</v>
      </c>
      <c r="G206">
        <v>18</v>
      </c>
      <c r="H206">
        <v>132705</v>
      </c>
    </row>
    <row r="207" spans="1:8" x14ac:dyDescent="0.25">
      <c r="A207">
        <v>205</v>
      </c>
      <c r="B207">
        <v>6227</v>
      </c>
      <c r="C207">
        <v>61</v>
      </c>
      <c r="D207" t="s">
        <v>10</v>
      </c>
      <c r="E207" t="b">
        <v>1</v>
      </c>
      <c r="F207" s="1">
        <v>38631</v>
      </c>
      <c r="G207">
        <v>24</v>
      </c>
      <c r="H207">
        <v>192494</v>
      </c>
    </row>
    <row r="208" spans="1:8" x14ac:dyDescent="0.25">
      <c r="A208">
        <v>206</v>
      </c>
      <c r="B208">
        <v>6663</v>
      </c>
      <c r="C208">
        <v>38</v>
      </c>
      <c r="D208" t="s">
        <v>11</v>
      </c>
      <c r="E208" t="b">
        <v>1</v>
      </c>
      <c r="F208" t="s">
        <v>127</v>
      </c>
      <c r="G208">
        <v>21</v>
      </c>
      <c r="H208">
        <v>164835</v>
      </c>
    </row>
    <row r="209" spans="1:8" x14ac:dyDescent="0.25">
      <c r="A209">
        <v>207</v>
      </c>
      <c r="B209">
        <v>9650</v>
      </c>
      <c r="C209">
        <v>33</v>
      </c>
      <c r="D209" t="s">
        <v>8</v>
      </c>
      <c r="E209" t="b">
        <v>0</v>
      </c>
      <c r="F209" t="s">
        <v>128</v>
      </c>
      <c r="G209">
        <v>15</v>
      </c>
      <c r="H209">
        <v>126137</v>
      </c>
    </row>
    <row r="210" spans="1:8" x14ac:dyDescent="0.25">
      <c r="A210">
        <v>208</v>
      </c>
      <c r="B210">
        <v>6929</v>
      </c>
      <c r="C210">
        <v>51</v>
      </c>
      <c r="D210" t="s">
        <v>13</v>
      </c>
      <c r="E210" t="b">
        <v>1</v>
      </c>
      <c r="F210" s="1">
        <v>28370</v>
      </c>
      <c r="G210">
        <v>25</v>
      </c>
      <c r="H210">
        <v>200225</v>
      </c>
    </row>
    <row r="211" spans="1:8" x14ac:dyDescent="0.25">
      <c r="A211">
        <v>209</v>
      </c>
      <c r="B211">
        <v>2863</v>
      </c>
      <c r="C211">
        <v>46</v>
      </c>
      <c r="D211" t="s">
        <v>8</v>
      </c>
      <c r="E211" t="b">
        <v>0</v>
      </c>
      <c r="F211" t="s">
        <v>129</v>
      </c>
      <c r="G211">
        <v>25</v>
      </c>
      <c r="H211">
        <v>195891</v>
      </c>
    </row>
    <row r="212" spans="1:8" x14ac:dyDescent="0.25">
      <c r="A212">
        <v>210</v>
      </c>
      <c r="B212">
        <v>8673</v>
      </c>
      <c r="C212">
        <v>44</v>
      </c>
      <c r="D212" t="s">
        <v>11</v>
      </c>
      <c r="E212" t="b">
        <v>1</v>
      </c>
      <c r="F212" t="s">
        <v>130</v>
      </c>
      <c r="G212">
        <v>20</v>
      </c>
      <c r="H212">
        <v>156207</v>
      </c>
    </row>
    <row r="213" spans="1:8" x14ac:dyDescent="0.25">
      <c r="A213">
        <v>211</v>
      </c>
      <c r="B213">
        <v>2820</v>
      </c>
      <c r="C213">
        <v>28</v>
      </c>
      <c r="D213" t="s">
        <v>8</v>
      </c>
      <c r="E213" t="b">
        <v>1</v>
      </c>
      <c r="F213" t="s">
        <v>131</v>
      </c>
      <c r="G213">
        <v>18</v>
      </c>
      <c r="H213">
        <v>135734</v>
      </c>
    </row>
    <row r="214" spans="1:8" x14ac:dyDescent="0.25">
      <c r="A214">
        <v>212</v>
      </c>
      <c r="B214">
        <v>6260</v>
      </c>
      <c r="C214">
        <v>23</v>
      </c>
      <c r="D214" t="s">
        <v>10</v>
      </c>
      <c r="E214" t="b">
        <v>0</v>
      </c>
      <c r="F214" t="s">
        <v>132</v>
      </c>
      <c r="G214">
        <v>14</v>
      </c>
      <c r="H214">
        <v>109179</v>
      </c>
    </row>
    <row r="215" spans="1:8" x14ac:dyDescent="0.25">
      <c r="A215">
        <v>213</v>
      </c>
      <c r="B215">
        <v>5238</v>
      </c>
      <c r="C215">
        <v>48</v>
      </c>
      <c r="D215" t="s">
        <v>10</v>
      </c>
      <c r="E215" t="b">
        <v>0</v>
      </c>
      <c r="F215" t="s">
        <v>133</v>
      </c>
      <c r="G215">
        <v>25</v>
      </c>
      <c r="H215">
        <v>197005</v>
      </c>
    </row>
    <row r="216" spans="1:8" x14ac:dyDescent="0.25">
      <c r="A216">
        <v>214</v>
      </c>
      <c r="B216">
        <v>1284</v>
      </c>
      <c r="C216">
        <v>28</v>
      </c>
      <c r="D216" t="s">
        <v>10</v>
      </c>
      <c r="E216" t="b">
        <v>0</v>
      </c>
      <c r="F216" t="s">
        <v>134</v>
      </c>
      <c r="G216">
        <v>13</v>
      </c>
      <c r="H216">
        <v>89207</v>
      </c>
    </row>
    <row r="217" spans="1:8" x14ac:dyDescent="0.25">
      <c r="A217">
        <v>215</v>
      </c>
      <c r="B217">
        <v>3247</v>
      </c>
      <c r="C217">
        <v>34</v>
      </c>
      <c r="D217" t="s">
        <v>8</v>
      </c>
      <c r="E217" t="b">
        <v>1</v>
      </c>
      <c r="F217" t="s">
        <v>135</v>
      </c>
      <c r="G217">
        <v>16</v>
      </c>
      <c r="H217">
        <v>138009</v>
      </c>
    </row>
    <row r="218" spans="1:8" x14ac:dyDescent="0.25">
      <c r="A218">
        <v>216</v>
      </c>
      <c r="B218">
        <v>1541</v>
      </c>
      <c r="C218">
        <v>62</v>
      </c>
      <c r="D218" t="s">
        <v>17</v>
      </c>
      <c r="E218" t="b">
        <v>1</v>
      </c>
      <c r="F218" s="1">
        <v>37998</v>
      </c>
      <c r="G218">
        <v>28</v>
      </c>
      <c r="H218">
        <v>233480</v>
      </c>
    </row>
    <row r="219" spans="1:8" x14ac:dyDescent="0.25">
      <c r="A219">
        <v>217</v>
      </c>
      <c r="B219">
        <v>5004</v>
      </c>
      <c r="C219">
        <v>57</v>
      </c>
      <c r="D219" t="s">
        <v>8</v>
      </c>
      <c r="E219" t="b">
        <v>1</v>
      </c>
      <c r="F219" s="1">
        <v>41887</v>
      </c>
      <c r="G219">
        <v>26</v>
      </c>
      <c r="H219">
        <v>206244</v>
      </c>
    </row>
    <row r="220" spans="1:8" x14ac:dyDescent="0.25">
      <c r="A220">
        <v>218</v>
      </c>
      <c r="B220">
        <v>2696</v>
      </c>
      <c r="C220">
        <v>56</v>
      </c>
      <c r="D220" t="s">
        <v>8</v>
      </c>
      <c r="E220" t="b">
        <v>1</v>
      </c>
      <c r="F220" t="s">
        <v>136</v>
      </c>
      <c r="G220">
        <v>26</v>
      </c>
      <c r="H220">
        <v>207865</v>
      </c>
    </row>
    <row r="221" spans="1:8" x14ac:dyDescent="0.25">
      <c r="A221">
        <v>219</v>
      </c>
      <c r="B221">
        <v>6407</v>
      </c>
      <c r="C221">
        <v>43</v>
      </c>
      <c r="D221" t="s">
        <v>17</v>
      </c>
      <c r="E221" t="b">
        <v>1</v>
      </c>
      <c r="F221" t="s">
        <v>137</v>
      </c>
      <c r="G221">
        <v>21</v>
      </c>
      <c r="H221">
        <v>160057</v>
      </c>
    </row>
    <row r="222" spans="1:8" x14ac:dyDescent="0.25">
      <c r="A222">
        <v>220</v>
      </c>
      <c r="B222">
        <v>2699</v>
      </c>
      <c r="C222">
        <v>40</v>
      </c>
      <c r="D222" t="s">
        <v>8</v>
      </c>
      <c r="E222" t="b">
        <v>1</v>
      </c>
      <c r="F222" t="s">
        <v>138</v>
      </c>
      <c r="G222">
        <v>16</v>
      </c>
      <c r="H222">
        <v>135082</v>
      </c>
    </row>
    <row r="223" spans="1:8" x14ac:dyDescent="0.25">
      <c r="A223">
        <v>221</v>
      </c>
      <c r="B223">
        <v>9383</v>
      </c>
      <c r="C223">
        <v>57</v>
      </c>
      <c r="D223" t="s">
        <v>8</v>
      </c>
      <c r="E223" t="b">
        <v>0</v>
      </c>
      <c r="F223" t="s">
        <v>139</v>
      </c>
      <c r="G223">
        <v>25</v>
      </c>
      <c r="H223">
        <v>207482</v>
      </c>
    </row>
    <row r="224" spans="1:8" x14ac:dyDescent="0.25">
      <c r="A224">
        <v>222</v>
      </c>
      <c r="B224">
        <v>2577</v>
      </c>
      <c r="C224">
        <v>39</v>
      </c>
      <c r="D224" t="s">
        <v>13</v>
      </c>
      <c r="E224" t="b">
        <v>0</v>
      </c>
      <c r="F224" s="1">
        <v>44357</v>
      </c>
      <c r="G224">
        <v>19</v>
      </c>
      <c r="H224">
        <v>144587</v>
      </c>
    </row>
    <row r="225" spans="1:8" x14ac:dyDescent="0.25">
      <c r="A225">
        <v>223</v>
      </c>
      <c r="B225">
        <v>7746</v>
      </c>
      <c r="C225">
        <v>41</v>
      </c>
      <c r="D225" t="s">
        <v>10</v>
      </c>
      <c r="E225" t="b">
        <v>1</v>
      </c>
      <c r="F225" t="s">
        <v>140</v>
      </c>
      <c r="G225">
        <v>22</v>
      </c>
      <c r="H225">
        <v>179459</v>
      </c>
    </row>
    <row r="226" spans="1:8" x14ac:dyDescent="0.25">
      <c r="A226">
        <v>224</v>
      </c>
      <c r="B226">
        <v>5622</v>
      </c>
      <c r="C226">
        <v>59</v>
      </c>
      <c r="D226" t="s">
        <v>17</v>
      </c>
      <c r="E226" t="b">
        <v>0</v>
      </c>
      <c r="F226" s="1">
        <v>29048</v>
      </c>
      <c r="G226">
        <v>30</v>
      </c>
      <c r="H226">
        <v>235895</v>
      </c>
    </row>
    <row r="227" spans="1:8" x14ac:dyDescent="0.25">
      <c r="A227">
        <v>225</v>
      </c>
      <c r="B227">
        <v>4002</v>
      </c>
      <c r="C227">
        <v>26</v>
      </c>
      <c r="D227" t="s">
        <v>13</v>
      </c>
      <c r="E227" t="b">
        <v>0</v>
      </c>
      <c r="F227" s="1">
        <v>38755</v>
      </c>
      <c r="G227">
        <v>17</v>
      </c>
      <c r="H227">
        <v>134299</v>
      </c>
    </row>
    <row r="228" spans="1:8" x14ac:dyDescent="0.25">
      <c r="A228">
        <v>226</v>
      </c>
      <c r="B228">
        <v>1643</v>
      </c>
      <c r="C228">
        <v>34</v>
      </c>
      <c r="D228" t="s">
        <v>10</v>
      </c>
      <c r="E228" t="b">
        <v>1</v>
      </c>
      <c r="F228" s="1">
        <v>28584</v>
      </c>
      <c r="G228">
        <v>17</v>
      </c>
      <c r="H228">
        <v>134991</v>
      </c>
    </row>
    <row r="229" spans="1:8" x14ac:dyDescent="0.25">
      <c r="A229">
        <v>227</v>
      </c>
      <c r="B229">
        <v>1459</v>
      </c>
      <c r="C229">
        <v>26</v>
      </c>
      <c r="D229" t="s">
        <v>10</v>
      </c>
      <c r="E229" t="b">
        <v>0</v>
      </c>
      <c r="F229" t="s">
        <v>141</v>
      </c>
      <c r="G229">
        <v>11</v>
      </c>
      <c r="H229">
        <v>88841</v>
      </c>
    </row>
    <row r="230" spans="1:8" x14ac:dyDescent="0.25">
      <c r="A230">
        <v>228</v>
      </c>
      <c r="B230">
        <v>3972</v>
      </c>
      <c r="C230">
        <v>44</v>
      </c>
      <c r="D230" t="s">
        <v>11</v>
      </c>
      <c r="E230" t="b">
        <v>0</v>
      </c>
      <c r="F230" s="1">
        <v>45541</v>
      </c>
      <c r="G230">
        <v>23</v>
      </c>
      <c r="H230">
        <v>184491</v>
      </c>
    </row>
    <row r="231" spans="1:8" x14ac:dyDescent="0.25">
      <c r="A231">
        <v>229</v>
      </c>
      <c r="B231">
        <v>2714</v>
      </c>
      <c r="C231">
        <v>43</v>
      </c>
      <c r="D231" t="s">
        <v>10</v>
      </c>
      <c r="E231" t="b">
        <v>1</v>
      </c>
      <c r="F231" s="1">
        <v>35072</v>
      </c>
      <c r="G231">
        <v>20</v>
      </c>
      <c r="H231">
        <v>154542</v>
      </c>
    </row>
    <row r="232" spans="1:8" x14ac:dyDescent="0.25">
      <c r="A232">
        <v>230</v>
      </c>
      <c r="B232">
        <v>5785</v>
      </c>
      <c r="C232">
        <v>42</v>
      </c>
      <c r="D232" t="s">
        <v>11</v>
      </c>
      <c r="E232" t="b">
        <v>0</v>
      </c>
      <c r="F232" t="s">
        <v>142</v>
      </c>
      <c r="G232">
        <v>20</v>
      </c>
      <c r="H232">
        <v>158115</v>
      </c>
    </row>
    <row r="233" spans="1:8" x14ac:dyDescent="0.25">
      <c r="A233">
        <v>231</v>
      </c>
      <c r="B233">
        <v>5746</v>
      </c>
      <c r="C233">
        <v>36</v>
      </c>
      <c r="D233" t="s">
        <v>11</v>
      </c>
      <c r="E233" t="b">
        <v>0</v>
      </c>
      <c r="F233" t="s">
        <v>143</v>
      </c>
      <c r="G233">
        <v>14</v>
      </c>
      <c r="H233">
        <v>113899</v>
      </c>
    </row>
    <row r="234" spans="1:8" x14ac:dyDescent="0.25">
      <c r="A234">
        <v>232</v>
      </c>
      <c r="B234">
        <v>9400</v>
      </c>
      <c r="C234">
        <v>25</v>
      </c>
      <c r="D234" t="s">
        <v>10</v>
      </c>
      <c r="E234" t="b">
        <v>0</v>
      </c>
      <c r="F234" s="1">
        <v>35766</v>
      </c>
      <c r="G234">
        <v>10</v>
      </c>
      <c r="H234">
        <v>85343</v>
      </c>
    </row>
    <row r="235" spans="1:8" x14ac:dyDescent="0.25">
      <c r="A235">
        <v>233</v>
      </c>
      <c r="B235">
        <v>4676</v>
      </c>
      <c r="C235">
        <v>36</v>
      </c>
      <c r="D235" t="s">
        <v>10</v>
      </c>
      <c r="E235" t="b">
        <v>1</v>
      </c>
      <c r="F235" s="1">
        <v>26304</v>
      </c>
      <c r="G235">
        <v>18</v>
      </c>
      <c r="H235">
        <v>139873</v>
      </c>
    </row>
    <row r="236" spans="1:8" x14ac:dyDescent="0.25">
      <c r="A236">
        <v>234</v>
      </c>
      <c r="B236">
        <v>9846</v>
      </c>
      <c r="C236">
        <v>61</v>
      </c>
      <c r="D236" t="s">
        <v>10</v>
      </c>
      <c r="E236" t="b">
        <v>0</v>
      </c>
      <c r="F236" s="1">
        <v>29444</v>
      </c>
      <c r="G236">
        <v>30</v>
      </c>
      <c r="H236">
        <v>246725</v>
      </c>
    </row>
    <row r="237" spans="1:8" x14ac:dyDescent="0.25">
      <c r="A237">
        <v>235</v>
      </c>
      <c r="B237">
        <v>9108</v>
      </c>
      <c r="C237">
        <v>57</v>
      </c>
      <c r="D237" t="s">
        <v>10</v>
      </c>
      <c r="E237" t="b">
        <v>0</v>
      </c>
      <c r="F237" s="1">
        <v>41034</v>
      </c>
      <c r="G237">
        <v>27</v>
      </c>
      <c r="H237">
        <v>226201</v>
      </c>
    </row>
    <row r="238" spans="1:8" x14ac:dyDescent="0.25">
      <c r="A238">
        <v>236</v>
      </c>
      <c r="B238">
        <v>3158</v>
      </c>
      <c r="C238">
        <v>51</v>
      </c>
      <c r="D238" t="s">
        <v>8</v>
      </c>
      <c r="E238" t="b">
        <v>1</v>
      </c>
      <c r="F238" t="s">
        <v>144</v>
      </c>
      <c r="G238">
        <v>27</v>
      </c>
      <c r="H238">
        <v>212105</v>
      </c>
    </row>
    <row r="239" spans="1:8" x14ac:dyDescent="0.25">
      <c r="A239">
        <v>237</v>
      </c>
      <c r="B239">
        <v>7361</v>
      </c>
      <c r="C239">
        <v>35</v>
      </c>
      <c r="D239" t="s">
        <v>11</v>
      </c>
      <c r="E239" t="b">
        <v>0</v>
      </c>
      <c r="F239" t="s">
        <v>145</v>
      </c>
      <c r="G239">
        <v>18</v>
      </c>
      <c r="H239">
        <v>149179</v>
      </c>
    </row>
    <row r="240" spans="1:8" x14ac:dyDescent="0.25">
      <c r="A240">
        <v>238</v>
      </c>
      <c r="B240">
        <v>1959</v>
      </c>
      <c r="C240">
        <v>36</v>
      </c>
      <c r="D240" t="s">
        <v>10</v>
      </c>
      <c r="E240" t="b">
        <v>0</v>
      </c>
      <c r="F240" s="1">
        <v>25751</v>
      </c>
      <c r="G240">
        <v>15</v>
      </c>
      <c r="H240">
        <v>115898</v>
      </c>
    </row>
    <row r="241" spans="1:8" x14ac:dyDescent="0.25">
      <c r="A241">
        <v>239</v>
      </c>
      <c r="B241">
        <v>9340</v>
      </c>
      <c r="C241">
        <v>64</v>
      </c>
      <c r="D241" t="s">
        <v>10</v>
      </c>
      <c r="E241" t="b">
        <v>1</v>
      </c>
      <c r="F241" t="s">
        <v>146</v>
      </c>
      <c r="G241">
        <v>30</v>
      </c>
      <c r="H241">
        <v>245207</v>
      </c>
    </row>
    <row r="242" spans="1:8" x14ac:dyDescent="0.25">
      <c r="A242">
        <v>240</v>
      </c>
      <c r="B242">
        <v>9605</v>
      </c>
      <c r="C242">
        <v>48</v>
      </c>
      <c r="D242" t="s">
        <v>10</v>
      </c>
      <c r="E242" t="b">
        <v>0</v>
      </c>
      <c r="F242" t="s">
        <v>147</v>
      </c>
      <c r="G242">
        <v>21</v>
      </c>
      <c r="H242">
        <v>163924</v>
      </c>
    </row>
    <row r="243" spans="1:8" x14ac:dyDescent="0.25">
      <c r="A243">
        <v>241</v>
      </c>
      <c r="B243">
        <v>3361</v>
      </c>
      <c r="C243">
        <v>46</v>
      </c>
      <c r="D243" t="s">
        <v>11</v>
      </c>
      <c r="E243" t="b">
        <v>0</v>
      </c>
      <c r="F243" t="s">
        <v>148</v>
      </c>
      <c r="G243">
        <v>22</v>
      </c>
      <c r="H243">
        <v>172224</v>
      </c>
    </row>
    <row r="244" spans="1:8" x14ac:dyDescent="0.25">
      <c r="A244">
        <v>242</v>
      </c>
      <c r="B244">
        <v>4662</v>
      </c>
      <c r="C244">
        <v>38</v>
      </c>
      <c r="D244" t="s">
        <v>13</v>
      </c>
      <c r="E244" t="b">
        <v>1</v>
      </c>
      <c r="F244" t="s">
        <v>149</v>
      </c>
      <c r="G244">
        <v>19</v>
      </c>
      <c r="H244">
        <v>144990</v>
      </c>
    </row>
    <row r="245" spans="1:8" x14ac:dyDescent="0.25">
      <c r="A245">
        <v>243</v>
      </c>
      <c r="B245">
        <v>4844</v>
      </c>
      <c r="C245">
        <v>47</v>
      </c>
      <c r="D245" t="s">
        <v>10</v>
      </c>
      <c r="E245" t="b">
        <v>1</v>
      </c>
      <c r="F245" s="1">
        <v>37170</v>
      </c>
      <c r="G245">
        <v>22</v>
      </c>
      <c r="H245">
        <v>170676</v>
      </c>
    </row>
    <row r="246" spans="1:8" x14ac:dyDescent="0.25">
      <c r="A246">
        <v>244</v>
      </c>
      <c r="B246">
        <v>6788</v>
      </c>
      <c r="C246">
        <v>39</v>
      </c>
      <c r="D246" t="s">
        <v>11</v>
      </c>
      <c r="E246" t="b">
        <v>1</v>
      </c>
      <c r="F246" t="s">
        <v>150</v>
      </c>
      <c r="G246">
        <v>22</v>
      </c>
      <c r="H246">
        <v>181837</v>
      </c>
    </row>
    <row r="247" spans="1:8" x14ac:dyDescent="0.25">
      <c r="A247">
        <v>245</v>
      </c>
      <c r="B247">
        <v>4450</v>
      </c>
      <c r="C247">
        <v>42</v>
      </c>
      <c r="D247" t="s">
        <v>17</v>
      </c>
      <c r="E247" t="b">
        <v>0</v>
      </c>
      <c r="F247" t="s">
        <v>151</v>
      </c>
      <c r="G247">
        <v>18</v>
      </c>
      <c r="H247">
        <v>133509</v>
      </c>
    </row>
    <row r="248" spans="1:8" x14ac:dyDescent="0.25">
      <c r="A248">
        <v>246</v>
      </c>
      <c r="B248">
        <v>9076</v>
      </c>
      <c r="C248">
        <v>58</v>
      </c>
      <c r="D248" t="s">
        <v>13</v>
      </c>
      <c r="E248" t="b">
        <v>0</v>
      </c>
      <c r="F248" s="1">
        <v>31052</v>
      </c>
      <c r="G248">
        <v>29</v>
      </c>
      <c r="H248">
        <v>234402</v>
      </c>
    </row>
    <row r="249" spans="1:8" x14ac:dyDescent="0.25">
      <c r="A249">
        <v>247</v>
      </c>
      <c r="B249">
        <v>8936</v>
      </c>
      <c r="C249">
        <v>46</v>
      </c>
      <c r="D249" t="s">
        <v>11</v>
      </c>
      <c r="E249" t="b">
        <v>0</v>
      </c>
      <c r="F249" s="1">
        <v>38565</v>
      </c>
      <c r="G249">
        <v>20</v>
      </c>
      <c r="H249">
        <v>165971</v>
      </c>
    </row>
    <row r="250" spans="1:8" x14ac:dyDescent="0.25">
      <c r="A250">
        <v>248</v>
      </c>
      <c r="B250">
        <v>3578</v>
      </c>
      <c r="C250">
        <v>31</v>
      </c>
      <c r="D250" t="s">
        <v>17</v>
      </c>
      <c r="E250" t="b">
        <v>0</v>
      </c>
      <c r="F250" t="s">
        <v>152</v>
      </c>
      <c r="G250">
        <v>13</v>
      </c>
      <c r="H250">
        <v>105359</v>
      </c>
    </row>
    <row r="251" spans="1:8" x14ac:dyDescent="0.25">
      <c r="A251">
        <v>249</v>
      </c>
      <c r="B251">
        <v>5624</v>
      </c>
      <c r="C251">
        <v>22</v>
      </c>
      <c r="D251" t="s">
        <v>17</v>
      </c>
      <c r="E251" t="b">
        <v>1</v>
      </c>
      <c r="F251" t="s">
        <v>153</v>
      </c>
      <c r="G251">
        <v>13</v>
      </c>
      <c r="H251">
        <v>94383</v>
      </c>
    </row>
    <row r="252" spans="1:8" x14ac:dyDescent="0.25">
      <c r="A252">
        <v>250</v>
      </c>
      <c r="B252">
        <v>3793</v>
      </c>
      <c r="C252">
        <v>51</v>
      </c>
      <c r="D252" t="s">
        <v>17</v>
      </c>
      <c r="E252" t="b">
        <v>0</v>
      </c>
      <c r="F252" s="1">
        <v>44929</v>
      </c>
      <c r="G252">
        <v>24</v>
      </c>
      <c r="H252">
        <v>198528</v>
      </c>
    </row>
    <row r="253" spans="1:8" x14ac:dyDescent="0.25">
      <c r="A253">
        <v>251</v>
      </c>
      <c r="B253">
        <v>1804</v>
      </c>
      <c r="C253">
        <v>62</v>
      </c>
      <c r="D253" t="s">
        <v>17</v>
      </c>
      <c r="E253" t="b">
        <v>1</v>
      </c>
      <c r="F253" s="1">
        <v>38363</v>
      </c>
      <c r="G253">
        <v>31</v>
      </c>
      <c r="H253">
        <v>242369</v>
      </c>
    </row>
    <row r="254" spans="1:8" x14ac:dyDescent="0.25">
      <c r="A254">
        <v>252</v>
      </c>
      <c r="B254">
        <v>5169</v>
      </c>
      <c r="C254">
        <v>52</v>
      </c>
      <c r="D254" t="s">
        <v>17</v>
      </c>
      <c r="E254" t="b">
        <v>1</v>
      </c>
      <c r="F254" t="s">
        <v>154</v>
      </c>
      <c r="G254">
        <v>23</v>
      </c>
      <c r="H254">
        <v>182226</v>
      </c>
    </row>
    <row r="255" spans="1:8" x14ac:dyDescent="0.25">
      <c r="A255">
        <v>253</v>
      </c>
      <c r="B255">
        <v>7658</v>
      </c>
      <c r="C255">
        <v>27</v>
      </c>
      <c r="D255" t="s">
        <v>13</v>
      </c>
      <c r="E255" t="b">
        <v>0</v>
      </c>
      <c r="F255" t="s">
        <v>155</v>
      </c>
      <c r="G255">
        <v>11</v>
      </c>
      <c r="H255">
        <v>88117</v>
      </c>
    </row>
    <row r="256" spans="1:8" x14ac:dyDescent="0.25">
      <c r="A256">
        <v>254</v>
      </c>
      <c r="B256">
        <v>3417</v>
      </c>
      <c r="C256">
        <v>54</v>
      </c>
      <c r="D256" t="s">
        <v>11</v>
      </c>
      <c r="E256" t="b">
        <v>1</v>
      </c>
      <c r="F256" t="s">
        <v>156</v>
      </c>
      <c r="G256">
        <v>30</v>
      </c>
      <c r="H256">
        <v>242515</v>
      </c>
    </row>
    <row r="257" spans="1:8" x14ac:dyDescent="0.25">
      <c r="A257">
        <v>255</v>
      </c>
      <c r="B257">
        <v>4801</v>
      </c>
      <c r="C257">
        <v>62</v>
      </c>
      <c r="D257" t="s">
        <v>8</v>
      </c>
      <c r="E257" t="b">
        <v>0</v>
      </c>
      <c r="F257" t="s">
        <v>157</v>
      </c>
      <c r="G257">
        <v>35</v>
      </c>
      <c r="H257">
        <v>281861</v>
      </c>
    </row>
    <row r="258" spans="1:8" x14ac:dyDescent="0.25">
      <c r="A258">
        <v>256</v>
      </c>
      <c r="B258">
        <v>2427</v>
      </c>
      <c r="C258">
        <v>61</v>
      </c>
      <c r="D258" t="s">
        <v>17</v>
      </c>
      <c r="E258" t="b">
        <v>0</v>
      </c>
      <c r="F258" s="1">
        <v>27554</v>
      </c>
      <c r="G258">
        <v>31</v>
      </c>
      <c r="H258">
        <v>242118</v>
      </c>
    </row>
    <row r="259" spans="1:8" x14ac:dyDescent="0.25">
      <c r="A259">
        <v>257</v>
      </c>
      <c r="B259">
        <v>4976</v>
      </c>
      <c r="C259">
        <v>48</v>
      </c>
      <c r="D259" t="s">
        <v>10</v>
      </c>
      <c r="E259" t="b">
        <v>1</v>
      </c>
      <c r="F259" s="1">
        <v>40120</v>
      </c>
      <c r="G259">
        <v>26</v>
      </c>
      <c r="H259">
        <v>209490</v>
      </c>
    </row>
    <row r="260" spans="1:8" x14ac:dyDescent="0.25">
      <c r="A260">
        <v>258</v>
      </c>
      <c r="B260">
        <v>2090</v>
      </c>
      <c r="C260">
        <v>26</v>
      </c>
      <c r="D260" t="s">
        <v>17</v>
      </c>
      <c r="E260" t="b">
        <v>0</v>
      </c>
      <c r="F260" t="s">
        <v>158</v>
      </c>
      <c r="G260">
        <v>11</v>
      </c>
      <c r="H260">
        <v>89796</v>
      </c>
    </row>
    <row r="261" spans="1:8" x14ac:dyDescent="0.25">
      <c r="A261">
        <v>259</v>
      </c>
      <c r="B261">
        <v>8575</v>
      </c>
      <c r="C261">
        <v>41</v>
      </c>
      <c r="D261" t="s">
        <v>8</v>
      </c>
      <c r="E261" t="b">
        <v>0</v>
      </c>
      <c r="F261" t="s">
        <v>159</v>
      </c>
      <c r="G261">
        <v>17</v>
      </c>
      <c r="H261">
        <v>133309</v>
      </c>
    </row>
    <row r="262" spans="1:8" x14ac:dyDescent="0.25">
      <c r="A262">
        <v>260</v>
      </c>
      <c r="B262">
        <v>6820</v>
      </c>
      <c r="C262">
        <v>61</v>
      </c>
      <c r="D262" t="s">
        <v>17</v>
      </c>
      <c r="E262" t="b">
        <v>0</v>
      </c>
      <c r="F262" t="s">
        <v>160</v>
      </c>
      <c r="G262">
        <v>30</v>
      </c>
      <c r="H262">
        <v>242055</v>
      </c>
    </row>
    <row r="263" spans="1:8" x14ac:dyDescent="0.25">
      <c r="A263">
        <v>261</v>
      </c>
      <c r="B263">
        <v>4433</v>
      </c>
      <c r="C263">
        <v>59</v>
      </c>
      <c r="D263" t="s">
        <v>11</v>
      </c>
      <c r="E263" t="b">
        <v>0</v>
      </c>
      <c r="F263" t="s">
        <v>161</v>
      </c>
      <c r="G263">
        <v>27</v>
      </c>
      <c r="H263">
        <v>216452</v>
      </c>
    </row>
    <row r="264" spans="1:8" x14ac:dyDescent="0.25">
      <c r="A264">
        <v>262</v>
      </c>
      <c r="B264">
        <v>2245</v>
      </c>
      <c r="C264">
        <v>49</v>
      </c>
      <c r="D264" t="s">
        <v>10</v>
      </c>
      <c r="E264" t="b">
        <v>0</v>
      </c>
      <c r="F264" s="1">
        <v>33484</v>
      </c>
      <c r="G264">
        <v>23</v>
      </c>
      <c r="H264">
        <v>175322</v>
      </c>
    </row>
    <row r="265" spans="1:8" x14ac:dyDescent="0.25">
      <c r="A265">
        <v>263</v>
      </c>
      <c r="B265">
        <v>9271</v>
      </c>
      <c r="C265">
        <v>41</v>
      </c>
      <c r="D265" t="s">
        <v>11</v>
      </c>
      <c r="E265" t="b">
        <v>1</v>
      </c>
      <c r="F265" t="s">
        <v>162</v>
      </c>
      <c r="G265">
        <v>18</v>
      </c>
      <c r="H265">
        <v>143008</v>
      </c>
    </row>
    <row r="266" spans="1:8" x14ac:dyDescent="0.25">
      <c r="A266">
        <v>264</v>
      </c>
      <c r="B266">
        <v>9654</v>
      </c>
      <c r="C266">
        <v>42</v>
      </c>
      <c r="D266" t="s">
        <v>10</v>
      </c>
      <c r="E266" t="b">
        <v>1</v>
      </c>
      <c r="F266" t="s">
        <v>163</v>
      </c>
      <c r="G266">
        <v>23</v>
      </c>
      <c r="H266">
        <v>188585</v>
      </c>
    </row>
    <row r="267" spans="1:8" x14ac:dyDescent="0.25">
      <c r="A267">
        <v>265</v>
      </c>
      <c r="B267">
        <v>8985</v>
      </c>
      <c r="C267">
        <v>40</v>
      </c>
      <c r="D267" t="s">
        <v>17</v>
      </c>
      <c r="E267" t="b">
        <v>1</v>
      </c>
      <c r="F267" s="1">
        <v>30720</v>
      </c>
      <c r="G267">
        <v>22</v>
      </c>
      <c r="H267">
        <v>170616</v>
      </c>
    </row>
    <row r="268" spans="1:8" x14ac:dyDescent="0.25">
      <c r="A268">
        <v>266</v>
      </c>
      <c r="B268">
        <v>2461</v>
      </c>
      <c r="C268">
        <v>29</v>
      </c>
      <c r="D268" t="s">
        <v>13</v>
      </c>
      <c r="E268" t="b">
        <v>1</v>
      </c>
      <c r="F268" t="s">
        <v>164</v>
      </c>
      <c r="G268">
        <v>10</v>
      </c>
      <c r="H268">
        <v>76240</v>
      </c>
    </row>
    <row r="269" spans="1:8" x14ac:dyDescent="0.25">
      <c r="A269">
        <v>267</v>
      </c>
      <c r="B269">
        <v>3151</v>
      </c>
      <c r="C269">
        <v>33</v>
      </c>
      <c r="D269" t="s">
        <v>13</v>
      </c>
      <c r="E269" t="b">
        <v>1</v>
      </c>
      <c r="F269" s="1">
        <v>34132</v>
      </c>
      <c r="G269">
        <v>15</v>
      </c>
      <c r="H269">
        <v>126615</v>
      </c>
    </row>
    <row r="270" spans="1:8" x14ac:dyDescent="0.25">
      <c r="A270">
        <v>268</v>
      </c>
      <c r="B270">
        <v>7639</v>
      </c>
      <c r="C270">
        <v>56</v>
      </c>
      <c r="D270" t="s">
        <v>11</v>
      </c>
      <c r="E270" t="b">
        <v>0</v>
      </c>
      <c r="F270" t="s">
        <v>165</v>
      </c>
      <c r="G270">
        <v>28</v>
      </c>
      <c r="H270">
        <v>229698</v>
      </c>
    </row>
    <row r="271" spans="1:8" x14ac:dyDescent="0.25">
      <c r="A271">
        <v>269</v>
      </c>
      <c r="B271">
        <v>5916</v>
      </c>
      <c r="C271">
        <v>56</v>
      </c>
      <c r="D271" t="s">
        <v>17</v>
      </c>
      <c r="E271" t="b">
        <v>0</v>
      </c>
      <c r="F271" s="1">
        <v>33821</v>
      </c>
      <c r="G271">
        <v>24</v>
      </c>
      <c r="H271">
        <v>187784</v>
      </c>
    </row>
    <row r="272" spans="1:8" x14ac:dyDescent="0.25">
      <c r="A272">
        <v>270</v>
      </c>
      <c r="B272">
        <v>9431</v>
      </c>
      <c r="C272">
        <v>36</v>
      </c>
      <c r="D272" t="s">
        <v>8</v>
      </c>
      <c r="E272" t="b">
        <v>1</v>
      </c>
      <c r="F272" t="s">
        <v>166</v>
      </c>
      <c r="G272">
        <v>16</v>
      </c>
      <c r="H272">
        <v>138129</v>
      </c>
    </row>
    <row r="273" spans="1:8" x14ac:dyDescent="0.25">
      <c r="A273">
        <v>271</v>
      </c>
      <c r="B273">
        <v>3881</v>
      </c>
      <c r="C273">
        <v>23</v>
      </c>
      <c r="D273" t="s">
        <v>17</v>
      </c>
      <c r="E273" t="b">
        <v>1</v>
      </c>
      <c r="F273" s="1">
        <v>26482</v>
      </c>
      <c r="G273">
        <v>9</v>
      </c>
      <c r="H273">
        <v>67144</v>
      </c>
    </row>
    <row r="274" spans="1:8" x14ac:dyDescent="0.25">
      <c r="A274">
        <v>272</v>
      </c>
      <c r="B274">
        <v>4413</v>
      </c>
      <c r="C274">
        <v>64</v>
      </c>
      <c r="D274" t="s">
        <v>11</v>
      </c>
      <c r="E274" t="b">
        <v>0</v>
      </c>
      <c r="F274" t="s">
        <v>167</v>
      </c>
      <c r="G274">
        <v>29</v>
      </c>
      <c r="H274">
        <v>239949</v>
      </c>
    </row>
    <row r="275" spans="1:8" x14ac:dyDescent="0.25">
      <c r="A275">
        <v>273</v>
      </c>
      <c r="B275">
        <v>6996</v>
      </c>
      <c r="C275">
        <v>50</v>
      </c>
      <c r="D275" t="s">
        <v>17</v>
      </c>
      <c r="E275" t="b">
        <v>1</v>
      </c>
      <c r="F275" s="1">
        <v>30504</v>
      </c>
      <c r="G275">
        <v>21</v>
      </c>
      <c r="H275">
        <v>179365</v>
      </c>
    </row>
    <row r="276" spans="1:8" x14ac:dyDescent="0.25">
      <c r="A276">
        <v>274</v>
      </c>
      <c r="B276">
        <v>9067</v>
      </c>
      <c r="C276">
        <v>50</v>
      </c>
      <c r="D276" t="s">
        <v>11</v>
      </c>
      <c r="E276" t="b">
        <v>1</v>
      </c>
      <c r="F276" t="s">
        <v>168</v>
      </c>
      <c r="G276">
        <v>24</v>
      </c>
      <c r="H276">
        <v>187838</v>
      </c>
    </row>
    <row r="277" spans="1:8" x14ac:dyDescent="0.25">
      <c r="A277">
        <v>275</v>
      </c>
      <c r="B277">
        <v>7346</v>
      </c>
      <c r="C277">
        <v>25</v>
      </c>
      <c r="D277" t="s">
        <v>8</v>
      </c>
      <c r="E277" t="b">
        <v>0</v>
      </c>
      <c r="F277" s="1">
        <v>43197</v>
      </c>
      <c r="G277">
        <v>16</v>
      </c>
      <c r="H277">
        <v>132450</v>
      </c>
    </row>
    <row r="278" spans="1:8" x14ac:dyDescent="0.25">
      <c r="A278">
        <v>276</v>
      </c>
      <c r="B278">
        <v>5348</v>
      </c>
      <c r="C278">
        <v>51</v>
      </c>
      <c r="D278" t="s">
        <v>17</v>
      </c>
      <c r="E278" t="b">
        <v>0</v>
      </c>
      <c r="F278" t="s">
        <v>169</v>
      </c>
      <c r="G278">
        <v>27</v>
      </c>
      <c r="H278">
        <v>205100</v>
      </c>
    </row>
    <row r="279" spans="1:8" x14ac:dyDescent="0.25">
      <c r="A279">
        <v>277</v>
      </c>
      <c r="B279">
        <v>8654</v>
      </c>
      <c r="C279">
        <v>33</v>
      </c>
      <c r="D279" t="s">
        <v>13</v>
      </c>
      <c r="E279" t="b">
        <v>0</v>
      </c>
      <c r="F279" t="s">
        <v>170</v>
      </c>
      <c r="G279">
        <v>14</v>
      </c>
      <c r="H279">
        <v>116747</v>
      </c>
    </row>
    <row r="280" spans="1:8" x14ac:dyDescent="0.25">
      <c r="A280">
        <v>278</v>
      </c>
      <c r="B280">
        <v>6135</v>
      </c>
      <c r="C280">
        <v>39</v>
      </c>
      <c r="D280" t="s">
        <v>17</v>
      </c>
      <c r="E280" t="b">
        <v>0</v>
      </c>
      <c r="F280" s="1">
        <v>32815</v>
      </c>
      <c r="G280">
        <v>20</v>
      </c>
      <c r="H280">
        <v>163267</v>
      </c>
    </row>
    <row r="281" spans="1:8" x14ac:dyDescent="0.25">
      <c r="A281">
        <v>279</v>
      </c>
      <c r="B281">
        <v>9855</v>
      </c>
      <c r="C281">
        <v>52</v>
      </c>
      <c r="D281" t="s">
        <v>17</v>
      </c>
      <c r="E281" t="b">
        <v>0</v>
      </c>
      <c r="F281" s="1">
        <v>37233</v>
      </c>
      <c r="G281">
        <v>25</v>
      </c>
      <c r="H281">
        <v>201417</v>
      </c>
    </row>
    <row r="282" spans="1:8" x14ac:dyDescent="0.25">
      <c r="A282">
        <v>280</v>
      </c>
      <c r="B282">
        <v>4372</v>
      </c>
      <c r="C282">
        <v>24</v>
      </c>
      <c r="D282" t="s">
        <v>17</v>
      </c>
      <c r="E282" t="b">
        <v>0</v>
      </c>
      <c r="F282" s="1">
        <v>39337</v>
      </c>
      <c r="G282">
        <v>10</v>
      </c>
      <c r="H282">
        <v>81020</v>
      </c>
    </row>
    <row r="283" spans="1:8" x14ac:dyDescent="0.25">
      <c r="A283">
        <v>281</v>
      </c>
      <c r="B283">
        <v>5929</v>
      </c>
      <c r="C283">
        <v>54</v>
      </c>
      <c r="D283" t="s">
        <v>8</v>
      </c>
      <c r="E283" t="b">
        <v>0</v>
      </c>
      <c r="F283" t="s">
        <v>171</v>
      </c>
      <c r="G283">
        <v>28</v>
      </c>
      <c r="H283">
        <v>223674</v>
      </c>
    </row>
    <row r="284" spans="1:8" x14ac:dyDescent="0.25">
      <c r="A284">
        <v>282</v>
      </c>
      <c r="B284">
        <v>3596</v>
      </c>
      <c r="C284">
        <v>47</v>
      </c>
      <c r="D284" t="s">
        <v>10</v>
      </c>
      <c r="E284" t="b">
        <v>1</v>
      </c>
      <c r="F284" t="s">
        <v>172</v>
      </c>
      <c r="G284">
        <v>26</v>
      </c>
      <c r="H284">
        <v>210860</v>
      </c>
    </row>
    <row r="285" spans="1:8" x14ac:dyDescent="0.25">
      <c r="A285">
        <v>283</v>
      </c>
      <c r="B285">
        <v>5750</v>
      </c>
      <c r="C285">
        <v>43</v>
      </c>
      <c r="D285" t="s">
        <v>8</v>
      </c>
      <c r="E285" t="b">
        <v>1</v>
      </c>
      <c r="F285" t="s">
        <v>173</v>
      </c>
      <c r="G285">
        <v>21</v>
      </c>
      <c r="H285">
        <v>166151</v>
      </c>
    </row>
    <row r="286" spans="1:8" x14ac:dyDescent="0.25">
      <c r="A286">
        <v>284</v>
      </c>
      <c r="B286">
        <v>6969</v>
      </c>
      <c r="C286">
        <v>49</v>
      </c>
      <c r="D286" t="s">
        <v>10</v>
      </c>
      <c r="E286" t="b">
        <v>1</v>
      </c>
      <c r="F286" t="s">
        <v>174</v>
      </c>
      <c r="G286">
        <v>27</v>
      </c>
      <c r="H286">
        <v>221768</v>
      </c>
    </row>
    <row r="287" spans="1:8" x14ac:dyDescent="0.25">
      <c r="A287">
        <v>285</v>
      </c>
      <c r="B287">
        <v>9046</v>
      </c>
      <c r="C287">
        <v>61</v>
      </c>
      <c r="D287" t="s">
        <v>11</v>
      </c>
      <c r="E287" t="b">
        <v>1</v>
      </c>
      <c r="F287" t="s">
        <v>175</v>
      </c>
      <c r="G287">
        <v>28</v>
      </c>
      <c r="H287">
        <v>228336</v>
      </c>
    </row>
    <row r="288" spans="1:8" x14ac:dyDescent="0.25">
      <c r="A288">
        <v>286</v>
      </c>
      <c r="B288">
        <v>4744</v>
      </c>
      <c r="C288">
        <v>23</v>
      </c>
      <c r="D288" t="s">
        <v>8</v>
      </c>
      <c r="E288" t="b">
        <v>0</v>
      </c>
      <c r="F288" t="s">
        <v>97</v>
      </c>
      <c r="G288">
        <v>10</v>
      </c>
      <c r="H288">
        <v>83287</v>
      </c>
    </row>
    <row r="289" spans="1:8" x14ac:dyDescent="0.25">
      <c r="A289">
        <v>287</v>
      </c>
      <c r="B289">
        <v>9279</v>
      </c>
      <c r="C289">
        <v>34</v>
      </c>
      <c r="D289" t="s">
        <v>13</v>
      </c>
      <c r="E289" t="b">
        <v>0</v>
      </c>
      <c r="F289" t="s">
        <v>176</v>
      </c>
      <c r="G289">
        <v>14</v>
      </c>
      <c r="H289">
        <v>107405</v>
      </c>
    </row>
    <row r="290" spans="1:8" x14ac:dyDescent="0.25">
      <c r="A290">
        <v>288</v>
      </c>
      <c r="B290">
        <v>8703</v>
      </c>
      <c r="C290">
        <v>28</v>
      </c>
      <c r="D290" t="s">
        <v>8</v>
      </c>
      <c r="E290" t="b">
        <v>1</v>
      </c>
      <c r="F290" t="s">
        <v>177</v>
      </c>
      <c r="G290">
        <v>14</v>
      </c>
      <c r="H290">
        <v>108456</v>
      </c>
    </row>
    <row r="291" spans="1:8" x14ac:dyDescent="0.25">
      <c r="A291">
        <v>289</v>
      </c>
      <c r="B291">
        <v>1390</v>
      </c>
      <c r="C291">
        <v>62</v>
      </c>
      <c r="D291" t="s">
        <v>11</v>
      </c>
      <c r="E291" t="b">
        <v>1</v>
      </c>
      <c r="F291" t="s">
        <v>178</v>
      </c>
      <c r="G291">
        <v>34</v>
      </c>
      <c r="H291">
        <v>266769</v>
      </c>
    </row>
    <row r="292" spans="1:8" x14ac:dyDescent="0.25">
      <c r="A292">
        <v>290</v>
      </c>
      <c r="B292">
        <v>3432</v>
      </c>
      <c r="C292">
        <v>60</v>
      </c>
      <c r="D292" t="s">
        <v>11</v>
      </c>
      <c r="E292" t="b">
        <v>0</v>
      </c>
      <c r="F292" t="s">
        <v>179</v>
      </c>
      <c r="G292">
        <v>28</v>
      </c>
      <c r="H292">
        <v>220626</v>
      </c>
    </row>
    <row r="293" spans="1:8" x14ac:dyDescent="0.25">
      <c r="A293">
        <v>291</v>
      </c>
      <c r="B293">
        <v>6674</v>
      </c>
      <c r="C293">
        <v>27</v>
      </c>
      <c r="D293" t="s">
        <v>10</v>
      </c>
      <c r="E293" t="b">
        <v>1</v>
      </c>
      <c r="F293" t="s">
        <v>180</v>
      </c>
      <c r="G293">
        <v>11</v>
      </c>
      <c r="H293">
        <v>87783</v>
      </c>
    </row>
    <row r="294" spans="1:8" x14ac:dyDescent="0.25">
      <c r="A294">
        <v>292</v>
      </c>
      <c r="B294">
        <v>9406</v>
      </c>
      <c r="C294">
        <v>55</v>
      </c>
      <c r="D294" t="s">
        <v>13</v>
      </c>
      <c r="E294" t="b">
        <v>1</v>
      </c>
      <c r="F294" t="s">
        <v>181</v>
      </c>
      <c r="G294">
        <v>28</v>
      </c>
      <c r="H294">
        <v>222819</v>
      </c>
    </row>
    <row r="295" spans="1:8" x14ac:dyDescent="0.25">
      <c r="A295">
        <v>293</v>
      </c>
      <c r="B295">
        <v>5410</v>
      </c>
      <c r="C295">
        <v>38</v>
      </c>
      <c r="D295" t="s">
        <v>8</v>
      </c>
      <c r="E295" t="b">
        <v>0</v>
      </c>
      <c r="F295" s="1">
        <v>41644</v>
      </c>
      <c r="G295">
        <v>19</v>
      </c>
      <c r="H295">
        <v>156891</v>
      </c>
    </row>
    <row r="296" spans="1:8" x14ac:dyDescent="0.25">
      <c r="A296">
        <v>294</v>
      </c>
      <c r="B296">
        <v>1985</v>
      </c>
      <c r="C296">
        <v>41</v>
      </c>
      <c r="D296" t="s">
        <v>11</v>
      </c>
      <c r="E296" t="b">
        <v>1</v>
      </c>
      <c r="F296" t="s">
        <v>182</v>
      </c>
      <c r="G296">
        <v>20</v>
      </c>
      <c r="H296">
        <v>166454</v>
      </c>
    </row>
    <row r="297" spans="1:8" x14ac:dyDescent="0.25">
      <c r="A297">
        <v>295</v>
      </c>
      <c r="B297">
        <v>1586</v>
      </c>
      <c r="C297">
        <v>59</v>
      </c>
      <c r="D297" t="s">
        <v>8</v>
      </c>
      <c r="E297" t="b">
        <v>0</v>
      </c>
      <c r="F297" t="s">
        <v>183</v>
      </c>
      <c r="G297">
        <v>28</v>
      </c>
      <c r="H297">
        <v>219860</v>
      </c>
    </row>
    <row r="298" spans="1:8" x14ac:dyDescent="0.25">
      <c r="A298">
        <v>296</v>
      </c>
      <c r="B298">
        <v>6512</v>
      </c>
      <c r="C298">
        <v>32</v>
      </c>
      <c r="D298" t="s">
        <v>13</v>
      </c>
      <c r="E298" t="b">
        <v>0</v>
      </c>
      <c r="F298" t="s">
        <v>146</v>
      </c>
      <c r="G298">
        <v>14</v>
      </c>
      <c r="H298">
        <v>119827</v>
      </c>
    </row>
    <row r="299" spans="1:8" x14ac:dyDescent="0.25">
      <c r="A299">
        <v>297</v>
      </c>
      <c r="B299">
        <v>4130</v>
      </c>
      <c r="C299">
        <v>50</v>
      </c>
      <c r="D299" t="s">
        <v>17</v>
      </c>
      <c r="E299" t="b">
        <v>1</v>
      </c>
      <c r="F299" s="1">
        <v>25604</v>
      </c>
      <c r="G299">
        <v>25</v>
      </c>
      <c r="H299">
        <v>200843</v>
      </c>
    </row>
    <row r="300" spans="1:8" x14ac:dyDescent="0.25">
      <c r="A300">
        <v>298</v>
      </c>
      <c r="B300">
        <v>1545</v>
      </c>
      <c r="C300">
        <v>34</v>
      </c>
      <c r="D300" t="s">
        <v>10</v>
      </c>
      <c r="E300" t="b">
        <v>1</v>
      </c>
      <c r="F300" s="1">
        <v>42675</v>
      </c>
      <c r="G300">
        <v>17</v>
      </c>
      <c r="H300">
        <v>134412</v>
      </c>
    </row>
    <row r="301" spans="1:8" x14ac:dyDescent="0.25">
      <c r="A301">
        <v>299</v>
      </c>
      <c r="B301">
        <v>8876</v>
      </c>
      <c r="C301">
        <v>58</v>
      </c>
      <c r="D301" t="s">
        <v>10</v>
      </c>
      <c r="E301" t="b">
        <v>1</v>
      </c>
      <c r="F301" t="s">
        <v>184</v>
      </c>
      <c r="G301">
        <v>29</v>
      </c>
      <c r="H301">
        <v>232716</v>
      </c>
    </row>
    <row r="302" spans="1:8" x14ac:dyDescent="0.25">
      <c r="A302">
        <v>300</v>
      </c>
      <c r="B302">
        <v>6444</v>
      </c>
      <c r="C302">
        <v>23</v>
      </c>
      <c r="D302" t="s">
        <v>8</v>
      </c>
      <c r="E302" t="b">
        <v>0</v>
      </c>
      <c r="F302" s="1">
        <v>29443</v>
      </c>
      <c r="G302">
        <v>13</v>
      </c>
      <c r="H302">
        <v>103933</v>
      </c>
    </row>
    <row r="303" spans="1:8" x14ac:dyDescent="0.25">
      <c r="A303">
        <v>301</v>
      </c>
      <c r="B303">
        <v>6852</v>
      </c>
      <c r="C303">
        <v>25</v>
      </c>
      <c r="D303" t="s">
        <v>10</v>
      </c>
      <c r="E303" t="b">
        <v>0</v>
      </c>
      <c r="F303" s="1">
        <v>40127</v>
      </c>
      <c r="G303">
        <v>12</v>
      </c>
      <c r="H303">
        <v>92047</v>
      </c>
    </row>
    <row r="304" spans="1:8" x14ac:dyDescent="0.25">
      <c r="A304">
        <v>302</v>
      </c>
      <c r="B304">
        <v>7321</v>
      </c>
      <c r="C304">
        <v>44</v>
      </c>
      <c r="D304" t="s">
        <v>10</v>
      </c>
      <c r="E304" t="b">
        <v>1</v>
      </c>
      <c r="F304" t="s">
        <v>185</v>
      </c>
      <c r="G304">
        <v>22</v>
      </c>
      <c r="H304">
        <v>172886</v>
      </c>
    </row>
    <row r="305" spans="1:8" x14ac:dyDescent="0.25">
      <c r="A305">
        <v>303</v>
      </c>
      <c r="B305">
        <v>5556</v>
      </c>
      <c r="C305">
        <v>37</v>
      </c>
      <c r="D305" t="s">
        <v>17</v>
      </c>
      <c r="E305" t="b">
        <v>1</v>
      </c>
      <c r="F305" t="s">
        <v>186</v>
      </c>
      <c r="G305">
        <v>17</v>
      </c>
      <c r="H305">
        <v>138827</v>
      </c>
    </row>
    <row r="306" spans="1:8" x14ac:dyDescent="0.25">
      <c r="A306">
        <v>304</v>
      </c>
      <c r="B306">
        <v>2377</v>
      </c>
      <c r="C306">
        <v>46</v>
      </c>
      <c r="D306" t="s">
        <v>8</v>
      </c>
      <c r="E306" t="b">
        <v>1</v>
      </c>
      <c r="F306" t="s">
        <v>187</v>
      </c>
      <c r="G306">
        <v>22</v>
      </c>
      <c r="H306">
        <v>180896</v>
      </c>
    </row>
    <row r="307" spans="1:8" x14ac:dyDescent="0.25">
      <c r="A307">
        <v>305</v>
      </c>
      <c r="B307">
        <v>1169</v>
      </c>
      <c r="C307">
        <v>39</v>
      </c>
      <c r="D307" t="s">
        <v>10</v>
      </c>
      <c r="E307" t="b">
        <v>0</v>
      </c>
      <c r="F307" t="s">
        <v>188</v>
      </c>
      <c r="G307">
        <v>17</v>
      </c>
      <c r="H307">
        <v>130190</v>
      </c>
    </row>
    <row r="308" spans="1:8" x14ac:dyDescent="0.25">
      <c r="A308">
        <v>306</v>
      </c>
      <c r="B308">
        <v>3130</v>
      </c>
      <c r="C308">
        <v>58</v>
      </c>
      <c r="D308" t="s">
        <v>17</v>
      </c>
      <c r="E308" t="b">
        <v>1</v>
      </c>
      <c r="F308" t="s">
        <v>189</v>
      </c>
      <c r="G308">
        <v>26</v>
      </c>
      <c r="H308">
        <v>215277</v>
      </c>
    </row>
    <row r="309" spans="1:8" x14ac:dyDescent="0.25">
      <c r="A309">
        <v>307</v>
      </c>
      <c r="B309">
        <v>8296</v>
      </c>
      <c r="C309">
        <v>47</v>
      </c>
      <c r="D309" t="s">
        <v>11</v>
      </c>
      <c r="E309" t="b">
        <v>1</v>
      </c>
      <c r="F309" s="1">
        <v>27344</v>
      </c>
      <c r="G309">
        <v>26</v>
      </c>
      <c r="H309">
        <v>206424</v>
      </c>
    </row>
    <row r="310" spans="1:8" x14ac:dyDescent="0.25">
      <c r="A310">
        <v>308</v>
      </c>
      <c r="B310">
        <v>1465</v>
      </c>
      <c r="C310">
        <v>49</v>
      </c>
      <c r="D310" t="s">
        <v>13</v>
      </c>
      <c r="E310" t="b">
        <v>1</v>
      </c>
      <c r="F310" t="s">
        <v>190</v>
      </c>
      <c r="G310">
        <v>23</v>
      </c>
      <c r="H310">
        <v>183184</v>
      </c>
    </row>
    <row r="311" spans="1:8" x14ac:dyDescent="0.25">
      <c r="A311">
        <v>309</v>
      </c>
      <c r="B311">
        <v>2460</v>
      </c>
      <c r="C311">
        <v>49</v>
      </c>
      <c r="D311" t="s">
        <v>11</v>
      </c>
      <c r="E311" t="b">
        <v>0</v>
      </c>
      <c r="F311" t="s">
        <v>191</v>
      </c>
      <c r="G311">
        <v>27</v>
      </c>
      <c r="H311">
        <v>214559</v>
      </c>
    </row>
    <row r="312" spans="1:8" x14ac:dyDescent="0.25">
      <c r="A312">
        <v>310</v>
      </c>
      <c r="B312">
        <v>5218</v>
      </c>
      <c r="C312">
        <v>23</v>
      </c>
      <c r="D312" t="s">
        <v>17</v>
      </c>
      <c r="E312" t="b">
        <v>0</v>
      </c>
      <c r="F312" s="1">
        <v>41005</v>
      </c>
      <c r="G312">
        <v>13</v>
      </c>
      <c r="H312">
        <v>108976</v>
      </c>
    </row>
    <row r="313" spans="1:8" x14ac:dyDescent="0.25">
      <c r="A313">
        <v>311</v>
      </c>
      <c r="B313">
        <v>2582</v>
      </c>
      <c r="C313">
        <v>61</v>
      </c>
      <c r="D313" t="s">
        <v>10</v>
      </c>
      <c r="E313" t="b">
        <v>0</v>
      </c>
      <c r="F313" t="s">
        <v>192</v>
      </c>
      <c r="G313">
        <v>28</v>
      </c>
      <c r="H313">
        <v>219409</v>
      </c>
    </row>
    <row r="314" spans="1:8" x14ac:dyDescent="0.25">
      <c r="A314">
        <v>312</v>
      </c>
      <c r="B314">
        <v>7872</v>
      </c>
      <c r="C314">
        <v>60</v>
      </c>
      <c r="D314" t="s">
        <v>13</v>
      </c>
      <c r="E314" t="b">
        <v>1</v>
      </c>
      <c r="F314" s="1">
        <v>43436</v>
      </c>
      <c r="G314">
        <v>28</v>
      </c>
      <c r="H314">
        <v>227772</v>
      </c>
    </row>
    <row r="315" spans="1:8" x14ac:dyDescent="0.25">
      <c r="A315">
        <v>313</v>
      </c>
      <c r="B315">
        <v>1548</v>
      </c>
      <c r="C315">
        <v>47</v>
      </c>
      <c r="D315" t="s">
        <v>13</v>
      </c>
      <c r="E315" t="b">
        <v>0</v>
      </c>
      <c r="F315" s="1">
        <v>27000</v>
      </c>
      <c r="G315">
        <v>21</v>
      </c>
      <c r="H315">
        <v>165170</v>
      </c>
    </row>
    <row r="316" spans="1:8" x14ac:dyDescent="0.25">
      <c r="A316">
        <v>314</v>
      </c>
      <c r="B316">
        <v>6510</v>
      </c>
      <c r="C316">
        <v>64</v>
      </c>
      <c r="D316" t="s">
        <v>8</v>
      </c>
      <c r="E316" t="b">
        <v>0</v>
      </c>
      <c r="F316" t="s">
        <v>193</v>
      </c>
      <c r="G316">
        <v>29</v>
      </c>
      <c r="H316">
        <v>234199</v>
      </c>
    </row>
    <row r="317" spans="1:8" x14ac:dyDescent="0.25">
      <c r="A317">
        <v>315</v>
      </c>
      <c r="B317">
        <v>6788</v>
      </c>
      <c r="C317">
        <v>48</v>
      </c>
      <c r="D317" t="s">
        <v>8</v>
      </c>
      <c r="E317" t="b">
        <v>0</v>
      </c>
      <c r="F317" t="s">
        <v>194</v>
      </c>
      <c r="G317">
        <v>26</v>
      </c>
      <c r="H317">
        <v>212050</v>
      </c>
    </row>
    <row r="318" spans="1:8" x14ac:dyDescent="0.25">
      <c r="A318">
        <v>316</v>
      </c>
      <c r="B318">
        <v>7404</v>
      </c>
      <c r="C318">
        <v>54</v>
      </c>
      <c r="D318" t="s">
        <v>17</v>
      </c>
      <c r="E318" t="b">
        <v>1</v>
      </c>
      <c r="F318" t="s">
        <v>195</v>
      </c>
      <c r="G318">
        <v>31</v>
      </c>
      <c r="H318">
        <v>249856</v>
      </c>
    </row>
    <row r="319" spans="1:8" x14ac:dyDescent="0.25">
      <c r="A319">
        <v>317</v>
      </c>
      <c r="B319">
        <v>6438</v>
      </c>
      <c r="C319">
        <v>37</v>
      </c>
      <c r="D319" t="s">
        <v>11</v>
      </c>
      <c r="E319" t="b">
        <v>1</v>
      </c>
      <c r="F319" t="s">
        <v>196</v>
      </c>
      <c r="G319">
        <v>18</v>
      </c>
      <c r="H319">
        <v>149464</v>
      </c>
    </row>
    <row r="320" spans="1:8" x14ac:dyDescent="0.25">
      <c r="A320">
        <v>318</v>
      </c>
      <c r="B320">
        <v>4847</v>
      </c>
      <c r="C320">
        <v>37</v>
      </c>
      <c r="D320" t="s">
        <v>10</v>
      </c>
      <c r="E320" t="b">
        <v>1</v>
      </c>
      <c r="F320" s="1">
        <v>27125</v>
      </c>
      <c r="G320">
        <v>16</v>
      </c>
      <c r="H320">
        <v>124970</v>
      </c>
    </row>
    <row r="321" spans="1:8" x14ac:dyDescent="0.25">
      <c r="A321">
        <v>319</v>
      </c>
      <c r="B321">
        <v>7292</v>
      </c>
      <c r="C321">
        <v>61</v>
      </c>
      <c r="D321" t="s">
        <v>13</v>
      </c>
      <c r="E321" t="b">
        <v>1</v>
      </c>
      <c r="F321" t="s">
        <v>197</v>
      </c>
      <c r="G321">
        <v>32</v>
      </c>
      <c r="H321">
        <v>256982</v>
      </c>
    </row>
    <row r="322" spans="1:8" x14ac:dyDescent="0.25">
      <c r="A322">
        <v>320</v>
      </c>
      <c r="B322">
        <v>6925</v>
      </c>
      <c r="C322">
        <v>61</v>
      </c>
      <c r="D322" t="s">
        <v>17</v>
      </c>
      <c r="E322" t="b">
        <v>0</v>
      </c>
      <c r="F322" t="s">
        <v>198</v>
      </c>
      <c r="G322">
        <v>31</v>
      </c>
      <c r="H322">
        <v>243928</v>
      </c>
    </row>
    <row r="323" spans="1:8" x14ac:dyDescent="0.25">
      <c r="A323">
        <v>321</v>
      </c>
      <c r="B323">
        <v>2232</v>
      </c>
      <c r="C323">
        <v>46</v>
      </c>
      <c r="D323" t="s">
        <v>13</v>
      </c>
      <c r="E323" t="b">
        <v>1</v>
      </c>
      <c r="F323" t="s">
        <v>199</v>
      </c>
      <c r="G323">
        <v>23</v>
      </c>
      <c r="H323">
        <v>189606</v>
      </c>
    </row>
    <row r="324" spans="1:8" x14ac:dyDescent="0.25">
      <c r="A324">
        <v>322</v>
      </c>
      <c r="B324">
        <v>3471</v>
      </c>
      <c r="C324">
        <v>32</v>
      </c>
      <c r="D324" t="s">
        <v>11</v>
      </c>
      <c r="E324" t="b">
        <v>0</v>
      </c>
      <c r="F324" t="s">
        <v>200</v>
      </c>
      <c r="G324">
        <v>16</v>
      </c>
      <c r="H324">
        <v>124879</v>
      </c>
    </row>
    <row r="325" spans="1:8" x14ac:dyDescent="0.25">
      <c r="A325">
        <v>323</v>
      </c>
      <c r="B325">
        <v>3537</v>
      </c>
      <c r="C325">
        <v>34</v>
      </c>
      <c r="D325" t="s">
        <v>8</v>
      </c>
      <c r="E325" t="b">
        <v>1</v>
      </c>
      <c r="F325" s="1">
        <v>43192</v>
      </c>
      <c r="G325">
        <v>15</v>
      </c>
      <c r="H325">
        <v>121239</v>
      </c>
    </row>
    <row r="326" spans="1:8" x14ac:dyDescent="0.25">
      <c r="A326">
        <v>324</v>
      </c>
      <c r="B326">
        <v>9164</v>
      </c>
      <c r="C326">
        <v>25</v>
      </c>
      <c r="D326" t="s">
        <v>8</v>
      </c>
      <c r="E326" t="b">
        <v>0</v>
      </c>
      <c r="F326" t="s">
        <v>201</v>
      </c>
      <c r="G326">
        <v>9</v>
      </c>
      <c r="H326">
        <v>75895</v>
      </c>
    </row>
    <row r="327" spans="1:8" x14ac:dyDescent="0.25">
      <c r="A327">
        <v>325</v>
      </c>
      <c r="B327">
        <v>6318</v>
      </c>
      <c r="C327">
        <v>42</v>
      </c>
      <c r="D327" t="s">
        <v>11</v>
      </c>
      <c r="E327" t="b">
        <v>0</v>
      </c>
      <c r="F327" s="1">
        <v>29231</v>
      </c>
      <c r="G327">
        <v>22</v>
      </c>
      <c r="H327">
        <v>176472</v>
      </c>
    </row>
    <row r="328" spans="1:8" x14ac:dyDescent="0.25">
      <c r="A328">
        <v>326</v>
      </c>
      <c r="B328">
        <v>9734</v>
      </c>
      <c r="C328">
        <v>52</v>
      </c>
      <c r="D328" t="s">
        <v>11</v>
      </c>
      <c r="E328" t="b">
        <v>1</v>
      </c>
      <c r="F328" t="s">
        <v>202</v>
      </c>
      <c r="G328">
        <v>27</v>
      </c>
      <c r="H328">
        <v>212809</v>
      </c>
    </row>
    <row r="329" spans="1:8" x14ac:dyDescent="0.25">
      <c r="A329">
        <v>327</v>
      </c>
      <c r="B329">
        <v>6820</v>
      </c>
      <c r="C329">
        <v>42</v>
      </c>
      <c r="D329" t="s">
        <v>10</v>
      </c>
      <c r="E329" t="b">
        <v>0</v>
      </c>
      <c r="F329" s="1">
        <v>29868</v>
      </c>
      <c r="G329">
        <v>20</v>
      </c>
      <c r="H329">
        <v>163828</v>
      </c>
    </row>
    <row r="330" spans="1:8" x14ac:dyDescent="0.25">
      <c r="A330">
        <v>328</v>
      </c>
      <c r="B330">
        <v>5827</v>
      </c>
      <c r="C330">
        <v>27</v>
      </c>
      <c r="D330" t="s">
        <v>13</v>
      </c>
      <c r="E330" t="b">
        <v>0</v>
      </c>
      <c r="F330" s="1">
        <v>33945</v>
      </c>
      <c r="G330">
        <v>13</v>
      </c>
      <c r="H330">
        <v>108619</v>
      </c>
    </row>
    <row r="331" spans="1:8" x14ac:dyDescent="0.25">
      <c r="A331">
        <v>329</v>
      </c>
      <c r="B331">
        <v>5708</v>
      </c>
      <c r="C331">
        <v>37</v>
      </c>
      <c r="D331" t="s">
        <v>13</v>
      </c>
      <c r="E331" t="b">
        <v>1</v>
      </c>
      <c r="F331" s="1">
        <v>33058</v>
      </c>
      <c r="G331">
        <v>19</v>
      </c>
      <c r="H331">
        <v>152992</v>
      </c>
    </row>
    <row r="332" spans="1:8" x14ac:dyDescent="0.25">
      <c r="A332">
        <v>330</v>
      </c>
      <c r="B332">
        <v>9126</v>
      </c>
      <c r="C332">
        <v>43</v>
      </c>
      <c r="D332" t="s">
        <v>11</v>
      </c>
      <c r="E332" t="b">
        <v>0</v>
      </c>
      <c r="F332" t="s">
        <v>203</v>
      </c>
      <c r="G332">
        <v>20</v>
      </c>
      <c r="H332">
        <v>154462</v>
      </c>
    </row>
    <row r="333" spans="1:8" x14ac:dyDescent="0.25">
      <c r="A333">
        <v>331</v>
      </c>
      <c r="B333">
        <v>1862</v>
      </c>
      <c r="C333">
        <v>39</v>
      </c>
      <c r="D333" t="s">
        <v>10</v>
      </c>
      <c r="E333" t="b">
        <v>1</v>
      </c>
      <c r="F333" t="s">
        <v>204</v>
      </c>
      <c r="G333">
        <v>18</v>
      </c>
      <c r="H333">
        <v>143605</v>
      </c>
    </row>
    <row r="334" spans="1:8" x14ac:dyDescent="0.25">
      <c r="A334">
        <v>332</v>
      </c>
      <c r="B334">
        <v>3905</v>
      </c>
      <c r="C334">
        <v>39</v>
      </c>
      <c r="D334" t="s">
        <v>8</v>
      </c>
      <c r="E334" t="b">
        <v>0</v>
      </c>
      <c r="F334" t="s">
        <v>205</v>
      </c>
      <c r="G334">
        <v>15</v>
      </c>
      <c r="H334">
        <v>117870</v>
      </c>
    </row>
    <row r="335" spans="1:8" x14ac:dyDescent="0.25">
      <c r="A335">
        <v>333</v>
      </c>
      <c r="B335">
        <v>5504</v>
      </c>
      <c r="C335">
        <v>54</v>
      </c>
      <c r="D335" t="s">
        <v>8</v>
      </c>
      <c r="E335" t="b">
        <v>1</v>
      </c>
      <c r="F335" s="1">
        <v>39485</v>
      </c>
      <c r="G335">
        <v>28</v>
      </c>
      <c r="H335">
        <v>223902</v>
      </c>
    </row>
    <row r="336" spans="1:8" x14ac:dyDescent="0.25">
      <c r="A336">
        <v>334</v>
      </c>
      <c r="B336">
        <v>1819</v>
      </c>
      <c r="C336">
        <v>31</v>
      </c>
      <c r="D336" t="s">
        <v>13</v>
      </c>
      <c r="E336" t="b">
        <v>1</v>
      </c>
      <c r="F336" t="s">
        <v>206</v>
      </c>
      <c r="G336">
        <v>14</v>
      </c>
      <c r="H336">
        <v>115875</v>
      </c>
    </row>
    <row r="337" spans="1:8" x14ac:dyDescent="0.25">
      <c r="A337">
        <v>335</v>
      </c>
      <c r="B337">
        <v>2901</v>
      </c>
      <c r="C337">
        <v>46</v>
      </c>
      <c r="D337" t="s">
        <v>11</v>
      </c>
      <c r="E337" t="b">
        <v>0</v>
      </c>
      <c r="F337" s="1">
        <v>38111</v>
      </c>
      <c r="G337">
        <v>24</v>
      </c>
      <c r="H337">
        <v>187168</v>
      </c>
    </row>
    <row r="338" spans="1:8" x14ac:dyDescent="0.25">
      <c r="A338">
        <v>336</v>
      </c>
      <c r="B338">
        <v>8229</v>
      </c>
      <c r="C338">
        <v>64</v>
      </c>
      <c r="D338" t="s">
        <v>11</v>
      </c>
      <c r="E338" t="b">
        <v>1</v>
      </c>
      <c r="F338" t="s">
        <v>207</v>
      </c>
      <c r="G338">
        <v>33</v>
      </c>
      <c r="H338">
        <v>265624</v>
      </c>
    </row>
    <row r="339" spans="1:8" x14ac:dyDescent="0.25">
      <c r="A339">
        <v>337</v>
      </c>
      <c r="B339">
        <v>9442</v>
      </c>
      <c r="C339">
        <v>62</v>
      </c>
      <c r="D339" t="s">
        <v>11</v>
      </c>
      <c r="E339" t="b">
        <v>0</v>
      </c>
      <c r="F339" s="1">
        <v>37104</v>
      </c>
      <c r="G339">
        <v>32</v>
      </c>
      <c r="H339">
        <v>259400</v>
      </c>
    </row>
    <row r="340" spans="1:8" x14ac:dyDescent="0.25">
      <c r="A340">
        <v>338</v>
      </c>
      <c r="B340">
        <v>4796</v>
      </c>
      <c r="C340">
        <v>28</v>
      </c>
      <c r="D340" t="s">
        <v>8</v>
      </c>
      <c r="E340" t="b">
        <v>1</v>
      </c>
      <c r="F340" t="s">
        <v>208</v>
      </c>
      <c r="G340">
        <v>15</v>
      </c>
      <c r="H340">
        <v>113486</v>
      </c>
    </row>
    <row r="341" spans="1:8" x14ac:dyDescent="0.25">
      <c r="A341">
        <v>339</v>
      </c>
      <c r="B341">
        <v>1890</v>
      </c>
      <c r="C341">
        <v>26</v>
      </c>
      <c r="D341" t="s">
        <v>11</v>
      </c>
      <c r="E341" t="b">
        <v>1</v>
      </c>
      <c r="F341" s="1">
        <v>32510</v>
      </c>
      <c r="G341">
        <v>13</v>
      </c>
      <c r="H341">
        <v>102162</v>
      </c>
    </row>
    <row r="342" spans="1:8" x14ac:dyDescent="0.25">
      <c r="A342">
        <v>340</v>
      </c>
      <c r="B342">
        <v>2321</v>
      </c>
      <c r="C342">
        <v>52</v>
      </c>
      <c r="D342" t="s">
        <v>13</v>
      </c>
      <c r="E342" t="b">
        <v>1</v>
      </c>
      <c r="F342" t="s">
        <v>209</v>
      </c>
      <c r="G342">
        <v>25</v>
      </c>
      <c r="H342">
        <v>200331</v>
      </c>
    </row>
    <row r="343" spans="1:8" x14ac:dyDescent="0.25">
      <c r="A343">
        <v>341</v>
      </c>
      <c r="B343">
        <v>6947</v>
      </c>
      <c r="C343">
        <v>35</v>
      </c>
      <c r="D343" t="s">
        <v>8</v>
      </c>
      <c r="E343" t="b">
        <v>1</v>
      </c>
      <c r="F343" t="s">
        <v>210</v>
      </c>
      <c r="G343">
        <v>18</v>
      </c>
      <c r="H343">
        <v>143134</v>
      </c>
    </row>
    <row r="344" spans="1:8" x14ac:dyDescent="0.25">
      <c r="A344">
        <v>342</v>
      </c>
      <c r="B344">
        <v>2401</v>
      </c>
      <c r="C344">
        <v>41</v>
      </c>
      <c r="D344" t="s">
        <v>10</v>
      </c>
      <c r="E344" t="b">
        <v>1</v>
      </c>
      <c r="F344" t="s">
        <v>211</v>
      </c>
      <c r="G344">
        <v>20</v>
      </c>
      <c r="H344">
        <v>152367</v>
      </c>
    </row>
    <row r="345" spans="1:8" x14ac:dyDescent="0.25">
      <c r="A345">
        <v>343</v>
      </c>
      <c r="B345">
        <v>3015</v>
      </c>
      <c r="C345">
        <v>62</v>
      </c>
      <c r="D345" t="s">
        <v>17</v>
      </c>
      <c r="E345" t="b">
        <v>0</v>
      </c>
      <c r="F345" t="s">
        <v>212</v>
      </c>
      <c r="G345">
        <v>31</v>
      </c>
      <c r="H345">
        <v>241831</v>
      </c>
    </row>
    <row r="346" spans="1:8" x14ac:dyDescent="0.25">
      <c r="A346">
        <v>344</v>
      </c>
      <c r="B346">
        <v>6354</v>
      </c>
      <c r="C346">
        <v>46</v>
      </c>
      <c r="D346" t="s">
        <v>8</v>
      </c>
      <c r="E346" t="b">
        <v>1</v>
      </c>
      <c r="F346" t="s">
        <v>213</v>
      </c>
      <c r="G346">
        <v>22</v>
      </c>
      <c r="H346">
        <v>174392</v>
      </c>
    </row>
    <row r="347" spans="1:8" x14ac:dyDescent="0.25">
      <c r="A347">
        <v>345</v>
      </c>
      <c r="B347">
        <v>9023</v>
      </c>
      <c r="C347">
        <v>44</v>
      </c>
      <c r="D347" t="s">
        <v>10</v>
      </c>
      <c r="E347" t="b">
        <v>1</v>
      </c>
      <c r="F347" t="s">
        <v>214</v>
      </c>
      <c r="G347">
        <v>21</v>
      </c>
      <c r="H347">
        <v>166153</v>
      </c>
    </row>
    <row r="348" spans="1:8" x14ac:dyDescent="0.25">
      <c r="A348">
        <v>346</v>
      </c>
      <c r="B348">
        <v>9431</v>
      </c>
      <c r="C348">
        <v>22</v>
      </c>
      <c r="D348" t="s">
        <v>17</v>
      </c>
      <c r="E348" t="b">
        <v>0</v>
      </c>
      <c r="F348" s="1">
        <v>30685</v>
      </c>
      <c r="G348">
        <v>14</v>
      </c>
      <c r="H348">
        <v>116114</v>
      </c>
    </row>
    <row r="349" spans="1:8" x14ac:dyDescent="0.25">
      <c r="A349">
        <v>347</v>
      </c>
      <c r="B349">
        <v>1279</v>
      </c>
      <c r="C349">
        <v>54</v>
      </c>
      <c r="D349" t="s">
        <v>10</v>
      </c>
      <c r="E349" t="b">
        <v>0</v>
      </c>
      <c r="F349" t="s">
        <v>215</v>
      </c>
      <c r="G349">
        <v>26</v>
      </c>
      <c r="H349">
        <v>215298</v>
      </c>
    </row>
    <row r="350" spans="1:8" x14ac:dyDescent="0.25">
      <c r="A350">
        <v>348</v>
      </c>
      <c r="B350">
        <v>5865</v>
      </c>
      <c r="C350">
        <v>44</v>
      </c>
      <c r="D350" t="s">
        <v>10</v>
      </c>
      <c r="E350" t="b">
        <v>0</v>
      </c>
      <c r="F350" t="s">
        <v>216</v>
      </c>
      <c r="G350">
        <v>20</v>
      </c>
      <c r="H350">
        <v>161836</v>
      </c>
    </row>
    <row r="351" spans="1:8" x14ac:dyDescent="0.25">
      <c r="A351">
        <v>349</v>
      </c>
      <c r="B351">
        <v>8816</v>
      </c>
      <c r="C351">
        <v>43</v>
      </c>
      <c r="D351" t="s">
        <v>17</v>
      </c>
      <c r="E351" t="b">
        <v>1</v>
      </c>
      <c r="F351" s="1">
        <v>35341</v>
      </c>
      <c r="G351">
        <v>21</v>
      </c>
      <c r="H351">
        <v>156464</v>
      </c>
    </row>
    <row r="352" spans="1:8" x14ac:dyDescent="0.25">
      <c r="A352">
        <v>350</v>
      </c>
      <c r="B352">
        <v>7352</v>
      </c>
      <c r="C352">
        <v>51</v>
      </c>
      <c r="D352" t="s">
        <v>11</v>
      </c>
      <c r="E352" t="b">
        <v>1</v>
      </c>
      <c r="F352" t="s">
        <v>217</v>
      </c>
      <c r="G352">
        <v>21</v>
      </c>
      <c r="H352">
        <v>161728</v>
      </c>
    </row>
    <row r="353" spans="1:8" x14ac:dyDescent="0.25">
      <c r="A353">
        <v>351</v>
      </c>
      <c r="B353">
        <v>8570</v>
      </c>
      <c r="C353">
        <v>26</v>
      </c>
      <c r="D353" t="s">
        <v>11</v>
      </c>
      <c r="E353" t="b">
        <v>1</v>
      </c>
      <c r="F353" t="s">
        <v>218</v>
      </c>
      <c r="G353">
        <v>13</v>
      </c>
      <c r="H353">
        <v>108822</v>
      </c>
    </row>
    <row r="354" spans="1:8" x14ac:dyDescent="0.25">
      <c r="A354">
        <v>352</v>
      </c>
      <c r="B354">
        <v>7873</v>
      </c>
      <c r="C354">
        <v>62</v>
      </c>
      <c r="D354" t="s">
        <v>17</v>
      </c>
      <c r="E354" t="b">
        <v>1</v>
      </c>
      <c r="F354" t="s">
        <v>219</v>
      </c>
      <c r="G354">
        <v>31</v>
      </c>
      <c r="H354">
        <v>242129</v>
      </c>
    </row>
    <row r="355" spans="1:8" x14ac:dyDescent="0.25">
      <c r="A355">
        <v>353</v>
      </c>
      <c r="B355">
        <v>5037</v>
      </c>
      <c r="C355">
        <v>49</v>
      </c>
      <c r="D355" t="s">
        <v>17</v>
      </c>
      <c r="E355" t="b">
        <v>1</v>
      </c>
      <c r="F355" s="1">
        <v>38361</v>
      </c>
      <c r="G355">
        <v>25</v>
      </c>
      <c r="H355">
        <v>208439</v>
      </c>
    </row>
    <row r="356" spans="1:8" x14ac:dyDescent="0.25">
      <c r="A356">
        <v>354</v>
      </c>
      <c r="B356">
        <v>6812</v>
      </c>
      <c r="C356">
        <v>31</v>
      </c>
      <c r="D356" t="s">
        <v>11</v>
      </c>
      <c r="E356" t="b">
        <v>1</v>
      </c>
      <c r="F356" s="1">
        <v>26853</v>
      </c>
      <c r="G356">
        <v>16</v>
      </c>
      <c r="H356">
        <v>132859</v>
      </c>
    </row>
    <row r="357" spans="1:8" x14ac:dyDescent="0.25">
      <c r="A357">
        <v>355</v>
      </c>
      <c r="B357">
        <v>6228</v>
      </c>
      <c r="C357">
        <v>48</v>
      </c>
      <c r="D357" t="s">
        <v>17</v>
      </c>
      <c r="E357" t="b">
        <v>0</v>
      </c>
      <c r="F357" s="1">
        <v>31567</v>
      </c>
      <c r="G357">
        <v>25</v>
      </c>
      <c r="H357">
        <v>197639</v>
      </c>
    </row>
    <row r="358" spans="1:8" x14ac:dyDescent="0.25">
      <c r="A358">
        <v>356</v>
      </c>
      <c r="B358">
        <v>1541</v>
      </c>
      <c r="C358">
        <v>27</v>
      </c>
      <c r="D358" t="s">
        <v>17</v>
      </c>
      <c r="E358" t="b">
        <v>1</v>
      </c>
      <c r="F358" s="1">
        <v>31726</v>
      </c>
      <c r="G358">
        <v>11</v>
      </c>
      <c r="H358">
        <v>78632</v>
      </c>
    </row>
    <row r="359" spans="1:8" x14ac:dyDescent="0.25">
      <c r="A359">
        <v>357</v>
      </c>
      <c r="B359">
        <v>4009</v>
      </c>
      <c r="C359">
        <v>23</v>
      </c>
      <c r="D359" t="s">
        <v>8</v>
      </c>
      <c r="E359" t="b">
        <v>1</v>
      </c>
      <c r="F359" t="s">
        <v>220</v>
      </c>
      <c r="G359">
        <v>11</v>
      </c>
      <c r="H359">
        <v>80817</v>
      </c>
    </row>
    <row r="360" spans="1:8" x14ac:dyDescent="0.25">
      <c r="A360">
        <v>358</v>
      </c>
      <c r="B360">
        <v>8185</v>
      </c>
      <c r="C360">
        <v>46</v>
      </c>
      <c r="D360" t="s">
        <v>17</v>
      </c>
      <c r="E360" t="b">
        <v>0</v>
      </c>
      <c r="F360" s="1">
        <v>35312</v>
      </c>
      <c r="G360">
        <v>20</v>
      </c>
      <c r="H360">
        <v>169224</v>
      </c>
    </row>
    <row r="361" spans="1:8" x14ac:dyDescent="0.25">
      <c r="A361">
        <v>359</v>
      </c>
      <c r="B361">
        <v>8399</v>
      </c>
      <c r="C361">
        <v>24</v>
      </c>
      <c r="D361" t="s">
        <v>13</v>
      </c>
      <c r="E361" t="b">
        <v>1</v>
      </c>
      <c r="F361" t="s">
        <v>221</v>
      </c>
      <c r="G361">
        <v>9</v>
      </c>
      <c r="H361">
        <v>69736</v>
      </c>
    </row>
    <row r="362" spans="1:8" x14ac:dyDescent="0.25">
      <c r="A362">
        <v>360</v>
      </c>
      <c r="B362">
        <v>4196</v>
      </c>
      <c r="C362">
        <v>52</v>
      </c>
      <c r="D362" t="s">
        <v>11</v>
      </c>
      <c r="E362" t="b">
        <v>0</v>
      </c>
      <c r="F362" t="s">
        <v>222</v>
      </c>
      <c r="G362">
        <v>22</v>
      </c>
      <c r="H362">
        <v>172041</v>
      </c>
    </row>
    <row r="363" spans="1:8" x14ac:dyDescent="0.25">
      <c r="A363">
        <v>361</v>
      </c>
      <c r="B363">
        <v>1944</v>
      </c>
      <c r="C363">
        <v>49</v>
      </c>
      <c r="D363" t="s">
        <v>10</v>
      </c>
      <c r="E363" t="b">
        <v>0</v>
      </c>
      <c r="F363" s="1">
        <v>40940</v>
      </c>
      <c r="G363">
        <v>22</v>
      </c>
      <c r="H363">
        <v>175269</v>
      </c>
    </row>
    <row r="364" spans="1:8" x14ac:dyDescent="0.25">
      <c r="A364">
        <v>362</v>
      </c>
      <c r="B364">
        <v>4672</v>
      </c>
      <c r="C364">
        <v>27</v>
      </c>
      <c r="D364" t="s">
        <v>10</v>
      </c>
      <c r="E364" t="b">
        <v>0</v>
      </c>
      <c r="F364" s="1">
        <v>35071</v>
      </c>
      <c r="G364">
        <v>12</v>
      </c>
      <c r="H364">
        <v>96587</v>
      </c>
    </row>
    <row r="365" spans="1:8" x14ac:dyDescent="0.25">
      <c r="A365">
        <v>363</v>
      </c>
      <c r="B365">
        <v>2424</v>
      </c>
      <c r="C365">
        <v>61</v>
      </c>
      <c r="D365" t="s">
        <v>8</v>
      </c>
      <c r="E365" t="b">
        <v>1</v>
      </c>
      <c r="F365" s="1">
        <v>42888</v>
      </c>
      <c r="G365">
        <v>28</v>
      </c>
      <c r="H365">
        <v>228121</v>
      </c>
    </row>
    <row r="366" spans="1:8" x14ac:dyDescent="0.25">
      <c r="A366">
        <v>364</v>
      </c>
      <c r="B366">
        <v>3389</v>
      </c>
      <c r="C366">
        <v>57</v>
      </c>
      <c r="D366" t="s">
        <v>11</v>
      </c>
      <c r="E366" t="b">
        <v>0</v>
      </c>
      <c r="F366" t="s">
        <v>223</v>
      </c>
      <c r="G366">
        <v>28</v>
      </c>
      <c r="H366">
        <v>219082</v>
      </c>
    </row>
    <row r="367" spans="1:8" x14ac:dyDescent="0.25">
      <c r="A367">
        <v>365</v>
      </c>
      <c r="B367">
        <v>9010</v>
      </c>
      <c r="C367">
        <v>30</v>
      </c>
      <c r="D367" t="s">
        <v>10</v>
      </c>
      <c r="E367" t="b">
        <v>1</v>
      </c>
      <c r="F367" t="s">
        <v>224</v>
      </c>
      <c r="G367">
        <v>14</v>
      </c>
      <c r="H367">
        <v>112660</v>
      </c>
    </row>
    <row r="368" spans="1:8" x14ac:dyDescent="0.25">
      <c r="A368">
        <v>366</v>
      </c>
      <c r="B368">
        <v>7713</v>
      </c>
      <c r="C368">
        <v>50</v>
      </c>
      <c r="D368" t="s">
        <v>10</v>
      </c>
      <c r="E368" t="b">
        <v>1</v>
      </c>
      <c r="F368" t="s">
        <v>225</v>
      </c>
      <c r="G368">
        <v>24</v>
      </c>
      <c r="H368">
        <v>192120</v>
      </c>
    </row>
    <row r="369" spans="1:8" x14ac:dyDescent="0.25">
      <c r="A369">
        <v>367</v>
      </c>
      <c r="B369">
        <v>4303</v>
      </c>
      <c r="C369">
        <v>35</v>
      </c>
      <c r="D369" t="s">
        <v>8</v>
      </c>
      <c r="E369" t="b">
        <v>0</v>
      </c>
      <c r="F369" s="1">
        <v>42778</v>
      </c>
      <c r="G369">
        <v>17</v>
      </c>
      <c r="H369">
        <v>138446</v>
      </c>
    </row>
    <row r="370" spans="1:8" x14ac:dyDescent="0.25">
      <c r="A370">
        <v>368</v>
      </c>
      <c r="B370">
        <v>7683</v>
      </c>
      <c r="C370">
        <v>62</v>
      </c>
      <c r="D370" t="s">
        <v>11</v>
      </c>
      <c r="E370" t="b">
        <v>1</v>
      </c>
      <c r="F370" t="s">
        <v>226</v>
      </c>
      <c r="G370">
        <v>31</v>
      </c>
      <c r="H370">
        <v>248320</v>
      </c>
    </row>
    <row r="371" spans="1:8" x14ac:dyDescent="0.25">
      <c r="A371">
        <v>369</v>
      </c>
      <c r="B371">
        <v>7362</v>
      </c>
      <c r="C371">
        <v>49</v>
      </c>
      <c r="D371" t="s">
        <v>11</v>
      </c>
      <c r="E371" t="b">
        <v>0</v>
      </c>
      <c r="F371" t="s">
        <v>227</v>
      </c>
      <c r="G371">
        <v>20</v>
      </c>
      <c r="H371">
        <v>156711</v>
      </c>
    </row>
    <row r="372" spans="1:8" x14ac:dyDescent="0.25">
      <c r="A372">
        <v>370</v>
      </c>
      <c r="B372">
        <v>1718</v>
      </c>
      <c r="C372">
        <v>49</v>
      </c>
      <c r="D372" t="s">
        <v>17</v>
      </c>
      <c r="E372" t="b">
        <v>1</v>
      </c>
      <c r="F372" s="1">
        <v>43261</v>
      </c>
      <c r="G372">
        <v>28</v>
      </c>
      <c r="H372">
        <v>226499</v>
      </c>
    </row>
    <row r="373" spans="1:8" x14ac:dyDescent="0.25">
      <c r="A373">
        <v>371</v>
      </c>
      <c r="B373">
        <v>6548</v>
      </c>
      <c r="C373">
        <v>57</v>
      </c>
      <c r="D373" t="s">
        <v>17</v>
      </c>
      <c r="E373" t="b">
        <v>0</v>
      </c>
      <c r="F373" s="1">
        <v>38718</v>
      </c>
      <c r="G373">
        <v>27</v>
      </c>
      <c r="H373">
        <v>207647</v>
      </c>
    </row>
    <row r="374" spans="1:8" x14ac:dyDescent="0.25">
      <c r="A374">
        <v>372</v>
      </c>
      <c r="B374">
        <v>6273</v>
      </c>
      <c r="C374">
        <v>37</v>
      </c>
      <c r="D374" t="s">
        <v>13</v>
      </c>
      <c r="E374" t="b">
        <v>0</v>
      </c>
      <c r="F374" s="1">
        <v>34337</v>
      </c>
      <c r="G374">
        <v>19</v>
      </c>
      <c r="H374">
        <v>150282</v>
      </c>
    </row>
    <row r="375" spans="1:8" x14ac:dyDescent="0.25">
      <c r="A375">
        <v>373</v>
      </c>
      <c r="B375">
        <v>5076</v>
      </c>
      <c r="C375">
        <v>63</v>
      </c>
      <c r="D375" t="s">
        <v>11</v>
      </c>
      <c r="E375" t="b">
        <v>1</v>
      </c>
      <c r="F375" t="s">
        <v>228</v>
      </c>
      <c r="G375">
        <v>36</v>
      </c>
      <c r="H375">
        <v>293410</v>
      </c>
    </row>
    <row r="376" spans="1:8" x14ac:dyDescent="0.25">
      <c r="A376">
        <v>374</v>
      </c>
      <c r="B376">
        <v>6914</v>
      </c>
      <c r="C376">
        <v>23</v>
      </c>
      <c r="D376" t="s">
        <v>10</v>
      </c>
      <c r="E376" t="b">
        <v>0</v>
      </c>
      <c r="F376" s="1">
        <v>40362</v>
      </c>
      <c r="G376">
        <v>9</v>
      </c>
      <c r="H376">
        <v>66124</v>
      </c>
    </row>
    <row r="377" spans="1:8" x14ac:dyDescent="0.25">
      <c r="A377">
        <v>375</v>
      </c>
      <c r="B377">
        <v>1068</v>
      </c>
      <c r="C377">
        <v>47</v>
      </c>
      <c r="D377" t="s">
        <v>17</v>
      </c>
      <c r="E377" t="b">
        <v>0</v>
      </c>
      <c r="F377" t="s">
        <v>229</v>
      </c>
      <c r="G377">
        <v>20</v>
      </c>
      <c r="H377">
        <v>162792</v>
      </c>
    </row>
    <row r="378" spans="1:8" x14ac:dyDescent="0.25">
      <c r="A378">
        <v>376</v>
      </c>
      <c r="B378">
        <v>1539</v>
      </c>
      <c r="C378">
        <v>42</v>
      </c>
      <c r="D378" t="s">
        <v>8</v>
      </c>
      <c r="E378" t="b">
        <v>1</v>
      </c>
      <c r="F378" t="s">
        <v>230</v>
      </c>
      <c r="G378">
        <v>22</v>
      </c>
      <c r="H378">
        <v>169701</v>
      </c>
    </row>
    <row r="379" spans="1:8" x14ac:dyDescent="0.25">
      <c r="A379">
        <v>377</v>
      </c>
      <c r="B379">
        <v>2565</v>
      </c>
      <c r="C379">
        <v>26</v>
      </c>
      <c r="D379" t="s">
        <v>8</v>
      </c>
      <c r="E379" t="b">
        <v>0</v>
      </c>
      <c r="F379" t="s">
        <v>231</v>
      </c>
      <c r="G379">
        <v>12</v>
      </c>
      <c r="H379">
        <v>89021</v>
      </c>
    </row>
    <row r="380" spans="1:8" x14ac:dyDescent="0.25">
      <c r="A380">
        <v>378</v>
      </c>
      <c r="B380">
        <v>7334</v>
      </c>
      <c r="C380">
        <v>63</v>
      </c>
      <c r="D380" t="s">
        <v>17</v>
      </c>
      <c r="E380" t="b">
        <v>1</v>
      </c>
      <c r="F380" s="1">
        <v>27825</v>
      </c>
      <c r="G380">
        <v>31</v>
      </c>
      <c r="H380">
        <v>253048</v>
      </c>
    </row>
    <row r="381" spans="1:8" x14ac:dyDescent="0.25">
      <c r="A381">
        <v>379</v>
      </c>
      <c r="B381">
        <v>2974</v>
      </c>
      <c r="C381">
        <v>22</v>
      </c>
      <c r="D381" t="s">
        <v>10</v>
      </c>
      <c r="E381" t="b">
        <v>0</v>
      </c>
      <c r="F381" t="s">
        <v>232</v>
      </c>
      <c r="G381">
        <v>7</v>
      </c>
      <c r="H381">
        <v>43177</v>
      </c>
    </row>
    <row r="382" spans="1:8" x14ac:dyDescent="0.25">
      <c r="A382">
        <v>380</v>
      </c>
      <c r="B382">
        <v>2346</v>
      </c>
      <c r="C382">
        <v>36</v>
      </c>
      <c r="D382" t="s">
        <v>17</v>
      </c>
      <c r="E382" t="b">
        <v>0</v>
      </c>
      <c r="F382" s="1">
        <v>45901</v>
      </c>
      <c r="G382">
        <v>13</v>
      </c>
      <c r="H382">
        <v>103682</v>
      </c>
    </row>
    <row r="383" spans="1:8" x14ac:dyDescent="0.25">
      <c r="A383">
        <v>381</v>
      </c>
      <c r="B383">
        <v>2800</v>
      </c>
      <c r="C383">
        <v>30</v>
      </c>
      <c r="D383" t="s">
        <v>17</v>
      </c>
      <c r="E383" t="b">
        <v>0</v>
      </c>
      <c r="F383" s="1">
        <v>37838</v>
      </c>
      <c r="G383">
        <v>16</v>
      </c>
      <c r="H383">
        <v>129947</v>
      </c>
    </row>
    <row r="384" spans="1:8" x14ac:dyDescent="0.25">
      <c r="A384">
        <v>382</v>
      </c>
      <c r="B384">
        <v>4437</v>
      </c>
      <c r="C384">
        <v>62</v>
      </c>
      <c r="D384" t="s">
        <v>8</v>
      </c>
      <c r="E384" t="b">
        <v>1</v>
      </c>
      <c r="F384" s="1">
        <v>37136</v>
      </c>
      <c r="G384">
        <v>29</v>
      </c>
      <c r="H384">
        <v>227252</v>
      </c>
    </row>
    <row r="385" spans="1:8" x14ac:dyDescent="0.25">
      <c r="A385">
        <v>383</v>
      </c>
      <c r="B385">
        <v>6007</v>
      </c>
      <c r="C385">
        <v>32</v>
      </c>
      <c r="D385" t="s">
        <v>10</v>
      </c>
      <c r="E385" t="b">
        <v>0</v>
      </c>
      <c r="F385" t="s">
        <v>233</v>
      </c>
      <c r="G385">
        <v>15</v>
      </c>
      <c r="H385">
        <v>127305</v>
      </c>
    </row>
    <row r="386" spans="1:8" x14ac:dyDescent="0.25">
      <c r="A386">
        <v>384</v>
      </c>
      <c r="B386">
        <v>2510</v>
      </c>
      <c r="C386">
        <v>51</v>
      </c>
      <c r="D386" t="s">
        <v>13</v>
      </c>
      <c r="E386" t="b">
        <v>1</v>
      </c>
      <c r="F386" t="s">
        <v>234</v>
      </c>
      <c r="G386">
        <v>24</v>
      </c>
      <c r="H386">
        <v>184578</v>
      </c>
    </row>
    <row r="387" spans="1:8" x14ac:dyDescent="0.25">
      <c r="A387">
        <v>385</v>
      </c>
      <c r="B387">
        <v>7197</v>
      </c>
      <c r="C387">
        <v>45</v>
      </c>
      <c r="D387" t="s">
        <v>17</v>
      </c>
      <c r="E387" t="b">
        <v>0</v>
      </c>
      <c r="F387" s="1">
        <v>28497</v>
      </c>
      <c r="G387">
        <v>23</v>
      </c>
      <c r="H387">
        <v>189031</v>
      </c>
    </row>
    <row r="388" spans="1:8" x14ac:dyDescent="0.25">
      <c r="A388">
        <v>386</v>
      </c>
      <c r="B388">
        <v>5262</v>
      </c>
      <c r="C388">
        <v>61</v>
      </c>
      <c r="D388" t="s">
        <v>11</v>
      </c>
      <c r="E388" t="b">
        <v>0</v>
      </c>
      <c r="F388" t="s">
        <v>235</v>
      </c>
      <c r="G388">
        <v>30</v>
      </c>
      <c r="H388">
        <v>242312</v>
      </c>
    </row>
    <row r="389" spans="1:8" x14ac:dyDescent="0.25">
      <c r="A389">
        <v>387</v>
      </c>
      <c r="B389">
        <v>4315</v>
      </c>
      <c r="C389">
        <v>47</v>
      </c>
      <c r="D389" t="s">
        <v>10</v>
      </c>
      <c r="E389" t="b">
        <v>0</v>
      </c>
      <c r="F389" t="s">
        <v>236</v>
      </c>
      <c r="G389">
        <v>24</v>
      </c>
      <c r="H389">
        <v>199412</v>
      </c>
    </row>
    <row r="390" spans="1:8" x14ac:dyDescent="0.25">
      <c r="A390">
        <v>388</v>
      </c>
      <c r="B390">
        <v>8268</v>
      </c>
      <c r="C390">
        <v>42</v>
      </c>
      <c r="D390" t="s">
        <v>11</v>
      </c>
      <c r="E390" t="b">
        <v>0</v>
      </c>
      <c r="F390" t="s">
        <v>237</v>
      </c>
      <c r="G390">
        <v>22</v>
      </c>
      <c r="H390">
        <v>181466</v>
      </c>
    </row>
    <row r="391" spans="1:8" x14ac:dyDescent="0.25">
      <c r="A391">
        <v>389</v>
      </c>
      <c r="B391">
        <v>6197</v>
      </c>
      <c r="C391">
        <v>61</v>
      </c>
      <c r="D391" t="s">
        <v>13</v>
      </c>
      <c r="E391" t="b">
        <v>0</v>
      </c>
      <c r="F391" t="s">
        <v>238</v>
      </c>
      <c r="G391">
        <v>32</v>
      </c>
      <c r="H391">
        <v>249787</v>
      </c>
    </row>
    <row r="392" spans="1:8" x14ac:dyDescent="0.25">
      <c r="A392">
        <v>390</v>
      </c>
      <c r="B392">
        <v>6190</v>
      </c>
      <c r="C392">
        <v>23</v>
      </c>
      <c r="D392" t="s">
        <v>17</v>
      </c>
      <c r="E392" t="b">
        <v>1</v>
      </c>
      <c r="F392" t="s">
        <v>239</v>
      </c>
      <c r="G392">
        <v>10</v>
      </c>
      <c r="H392">
        <v>75579</v>
      </c>
    </row>
    <row r="393" spans="1:8" x14ac:dyDescent="0.25">
      <c r="A393">
        <v>391</v>
      </c>
      <c r="B393">
        <v>8585</v>
      </c>
      <c r="C393">
        <v>33</v>
      </c>
      <c r="D393" t="s">
        <v>10</v>
      </c>
      <c r="E393" t="b">
        <v>0</v>
      </c>
      <c r="F393" t="s">
        <v>240</v>
      </c>
      <c r="G393">
        <v>14</v>
      </c>
      <c r="H393">
        <v>110956</v>
      </c>
    </row>
    <row r="394" spans="1:8" x14ac:dyDescent="0.25">
      <c r="A394">
        <v>392</v>
      </c>
      <c r="B394">
        <v>4689</v>
      </c>
      <c r="C394">
        <v>52</v>
      </c>
      <c r="D394" t="s">
        <v>11</v>
      </c>
      <c r="E394" t="b">
        <v>0</v>
      </c>
      <c r="F394" t="s">
        <v>241</v>
      </c>
      <c r="G394">
        <v>25</v>
      </c>
      <c r="H394">
        <v>205417</v>
      </c>
    </row>
    <row r="395" spans="1:8" x14ac:dyDescent="0.25">
      <c r="A395">
        <v>393</v>
      </c>
      <c r="B395">
        <v>9048</v>
      </c>
      <c r="C395">
        <v>44</v>
      </c>
      <c r="D395" t="s">
        <v>8</v>
      </c>
      <c r="E395" t="b">
        <v>0</v>
      </c>
      <c r="F395" t="s">
        <v>242</v>
      </c>
      <c r="G395">
        <v>25</v>
      </c>
      <c r="H395">
        <v>196804</v>
      </c>
    </row>
    <row r="396" spans="1:8" x14ac:dyDescent="0.25">
      <c r="A396">
        <v>394</v>
      </c>
      <c r="B396">
        <v>7445</v>
      </c>
      <c r="C396">
        <v>46</v>
      </c>
      <c r="D396" t="s">
        <v>17</v>
      </c>
      <c r="E396" t="b">
        <v>0</v>
      </c>
      <c r="F396" s="1">
        <v>30564</v>
      </c>
      <c r="G396">
        <v>21</v>
      </c>
      <c r="H396">
        <v>171101</v>
      </c>
    </row>
    <row r="397" spans="1:8" x14ac:dyDescent="0.25">
      <c r="A397">
        <v>395</v>
      </c>
      <c r="B397">
        <v>2129</v>
      </c>
      <c r="C397">
        <v>27</v>
      </c>
      <c r="D397" t="s">
        <v>17</v>
      </c>
      <c r="E397" t="b">
        <v>0</v>
      </c>
      <c r="F397" t="s">
        <v>243</v>
      </c>
      <c r="G397">
        <v>12</v>
      </c>
      <c r="H397">
        <v>103203</v>
      </c>
    </row>
    <row r="398" spans="1:8" x14ac:dyDescent="0.25">
      <c r="A398">
        <v>396</v>
      </c>
      <c r="B398">
        <v>2973</v>
      </c>
      <c r="C398">
        <v>26</v>
      </c>
      <c r="D398" t="s">
        <v>8</v>
      </c>
      <c r="E398" t="b">
        <v>1</v>
      </c>
      <c r="F398" t="s">
        <v>244</v>
      </c>
      <c r="G398">
        <v>15</v>
      </c>
      <c r="H398">
        <v>120056</v>
      </c>
    </row>
    <row r="399" spans="1:8" x14ac:dyDescent="0.25">
      <c r="A399">
        <v>397</v>
      </c>
      <c r="B399">
        <v>5722</v>
      </c>
      <c r="C399">
        <v>30</v>
      </c>
      <c r="D399" t="s">
        <v>10</v>
      </c>
      <c r="E399" t="b">
        <v>1</v>
      </c>
      <c r="F399" t="s">
        <v>245</v>
      </c>
      <c r="G399">
        <v>16</v>
      </c>
      <c r="H399">
        <v>136030</v>
      </c>
    </row>
    <row r="400" spans="1:8" x14ac:dyDescent="0.25">
      <c r="A400">
        <v>398</v>
      </c>
      <c r="B400">
        <v>4334</v>
      </c>
      <c r="C400">
        <v>58</v>
      </c>
      <c r="D400" t="s">
        <v>17</v>
      </c>
      <c r="E400" t="b">
        <v>0</v>
      </c>
      <c r="F400" t="s">
        <v>246</v>
      </c>
      <c r="G400">
        <v>28</v>
      </c>
      <c r="H400">
        <v>225695</v>
      </c>
    </row>
    <row r="401" spans="1:8" x14ac:dyDescent="0.25">
      <c r="A401">
        <v>399</v>
      </c>
      <c r="B401">
        <v>3900</v>
      </c>
      <c r="C401">
        <v>44</v>
      </c>
      <c r="D401" t="s">
        <v>17</v>
      </c>
      <c r="E401" t="b">
        <v>1</v>
      </c>
      <c r="F401" t="s">
        <v>247</v>
      </c>
      <c r="G401">
        <v>18</v>
      </c>
      <c r="H401">
        <v>140411</v>
      </c>
    </row>
    <row r="402" spans="1:8" x14ac:dyDescent="0.25">
      <c r="A402">
        <v>400</v>
      </c>
      <c r="B402">
        <v>9317</v>
      </c>
      <c r="C402">
        <v>45</v>
      </c>
      <c r="D402" t="s">
        <v>8</v>
      </c>
      <c r="E402" t="b">
        <v>1</v>
      </c>
      <c r="F402" s="1">
        <v>43081</v>
      </c>
      <c r="G402">
        <v>21</v>
      </c>
      <c r="H402">
        <v>169472</v>
      </c>
    </row>
    <row r="403" spans="1:8" x14ac:dyDescent="0.25">
      <c r="A403">
        <v>401</v>
      </c>
      <c r="B403">
        <v>7802</v>
      </c>
      <c r="C403">
        <v>23</v>
      </c>
      <c r="D403" t="s">
        <v>8</v>
      </c>
      <c r="E403" t="b">
        <v>0</v>
      </c>
      <c r="F403" t="s">
        <v>248</v>
      </c>
      <c r="G403">
        <v>12</v>
      </c>
      <c r="H403">
        <v>94602</v>
      </c>
    </row>
    <row r="404" spans="1:8" x14ac:dyDescent="0.25">
      <c r="A404">
        <v>402</v>
      </c>
      <c r="B404">
        <v>3189</v>
      </c>
      <c r="C404">
        <v>43</v>
      </c>
      <c r="D404" t="s">
        <v>8</v>
      </c>
      <c r="E404" t="b">
        <v>1</v>
      </c>
      <c r="F404" t="s">
        <v>249</v>
      </c>
      <c r="G404">
        <v>22</v>
      </c>
      <c r="H404">
        <v>176423</v>
      </c>
    </row>
    <row r="405" spans="1:8" x14ac:dyDescent="0.25">
      <c r="A405">
        <v>403</v>
      </c>
      <c r="B405">
        <v>2803</v>
      </c>
      <c r="C405">
        <v>41</v>
      </c>
      <c r="D405" t="s">
        <v>8</v>
      </c>
      <c r="E405" t="b">
        <v>1</v>
      </c>
      <c r="F405" t="s">
        <v>250</v>
      </c>
      <c r="G405">
        <v>20</v>
      </c>
      <c r="H405">
        <v>173046</v>
      </c>
    </row>
    <row r="406" spans="1:8" x14ac:dyDescent="0.25">
      <c r="A406">
        <v>404</v>
      </c>
      <c r="B406">
        <v>9086</v>
      </c>
      <c r="C406">
        <v>26</v>
      </c>
      <c r="D406" t="s">
        <v>11</v>
      </c>
      <c r="E406" t="b">
        <v>0</v>
      </c>
      <c r="F406" t="s">
        <v>251</v>
      </c>
      <c r="G406">
        <v>12</v>
      </c>
      <c r="H406">
        <v>82230</v>
      </c>
    </row>
    <row r="407" spans="1:8" x14ac:dyDescent="0.25">
      <c r="A407">
        <v>405</v>
      </c>
      <c r="B407">
        <v>9975</v>
      </c>
      <c r="C407">
        <v>22</v>
      </c>
      <c r="D407" t="s">
        <v>17</v>
      </c>
      <c r="E407" t="b">
        <v>1</v>
      </c>
      <c r="F407" t="s">
        <v>252</v>
      </c>
      <c r="G407">
        <v>9</v>
      </c>
      <c r="H407">
        <v>65079</v>
      </c>
    </row>
    <row r="408" spans="1:8" x14ac:dyDescent="0.25">
      <c r="A408">
        <v>406</v>
      </c>
      <c r="B408">
        <v>8328</v>
      </c>
      <c r="C408">
        <v>51</v>
      </c>
      <c r="D408" t="s">
        <v>10</v>
      </c>
      <c r="E408" t="b">
        <v>1</v>
      </c>
      <c r="F408" t="s">
        <v>253</v>
      </c>
      <c r="G408">
        <v>24</v>
      </c>
      <c r="H408">
        <v>194961</v>
      </c>
    </row>
    <row r="409" spans="1:8" x14ac:dyDescent="0.25">
      <c r="A409">
        <v>407</v>
      </c>
      <c r="B409">
        <v>1695</v>
      </c>
      <c r="C409">
        <v>55</v>
      </c>
      <c r="D409" t="s">
        <v>17</v>
      </c>
      <c r="E409" t="b">
        <v>0</v>
      </c>
      <c r="F409" s="1">
        <v>37865</v>
      </c>
      <c r="G409">
        <v>24</v>
      </c>
      <c r="H409">
        <v>192619</v>
      </c>
    </row>
    <row r="410" spans="1:8" x14ac:dyDescent="0.25">
      <c r="A410">
        <v>408</v>
      </c>
      <c r="B410">
        <v>6633</v>
      </c>
      <c r="C410">
        <v>27</v>
      </c>
      <c r="D410" t="s">
        <v>13</v>
      </c>
      <c r="E410" t="b">
        <v>0</v>
      </c>
      <c r="F410" t="s">
        <v>254</v>
      </c>
      <c r="G410">
        <v>16</v>
      </c>
      <c r="H410">
        <v>123888</v>
      </c>
    </row>
    <row r="411" spans="1:8" x14ac:dyDescent="0.25">
      <c r="A411">
        <v>409</v>
      </c>
      <c r="B411">
        <v>5922</v>
      </c>
      <c r="C411">
        <v>57</v>
      </c>
      <c r="D411" t="s">
        <v>10</v>
      </c>
      <c r="E411" t="b">
        <v>1</v>
      </c>
      <c r="F411" s="1">
        <v>43866</v>
      </c>
      <c r="G411">
        <v>29</v>
      </c>
      <c r="H411">
        <v>225741</v>
      </c>
    </row>
    <row r="412" spans="1:8" x14ac:dyDescent="0.25">
      <c r="A412">
        <v>410</v>
      </c>
      <c r="B412">
        <v>4364</v>
      </c>
      <c r="C412">
        <v>54</v>
      </c>
      <c r="D412" t="s">
        <v>8</v>
      </c>
      <c r="E412" t="b">
        <v>0</v>
      </c>
      <c r="F412" t="s">
        <v>255</v>
      </c>
      <c r="G412">
        <v>28</v>
      </c>
      <c r="H412">
        <v>221040</v>
      </c>
    </row>
    <row r="413" spans="1:8" x14ac:dyDescent="0.25">
      <c r="A413">
        <v>411</v>
      </c>
      <c r="B413">
        <v>9938</v>
      </c>
      <c r="C413">
        <v>34</v>
      </c>
      <c r="D413" t="s">
        <v>13</v>
      </c>
      <c r="E413" t="b">
        <v>0</v>
      </c>
      <c r="F413" t="s">
        <v>256</v>
      </c>
      <c r="G413">
        <v>16</v>
      </c>
      <c r="H413">
        <v>133650</v>
      </c>
    </row>
    <row r="414" spans="1:8" x14ac:dyDescent="0.25">
      <c r="A414">
        <v>412</v>
      </c>
      <c r="B414">
        <v>4303</v>
      </c>
      <c r="C414">
        <v>31</v>
      </c>
      <c r="D414" t="s">
        <v>11</v>
      </c>
      <c r="E414" t="b">
        <v>0</v>
      </c>
      <c r="F414" t="s">
        <v>257</v>
      </c>
      <c r="G414">
        <v>11</v>
      </c>
      <c r="H414">
        <v>93339</v>
      </c>
    </row>
    <row r="415" spans="1:8" x14ac:dyDescent="0.25">
      <c r="A415">
        <v>413</v>
      </c>
      <c r="B415">
        <v>4845</v>
      </c>
      <c r="C415">
        <v>42</v>
      </c>
      <c r="D415" t="s">
        <v>8</v>
      </c>
      <c r="E415" t="b">
        <v>0</v>
      </c>
      <c r="F415" t="s">
        <v>258</v>
      </c>
      <c r="G415">
        <v>20</v>
      </c>
      <c r="H415">
        <v>163242</v>
      </c>
    </row>
    <row r="416" spans="1:8" x14ac:dyDescent="0.25">
      <c r="A416">
        <v>414</v>
      </c>
      <c r="B416">
        <v>8086</v>
      </c>
      <c r="C416">
        <v>36</v>
      </c>
      <c r="D416" t="s">
        <v>17</v>
      </c>
      <c r="E416" t="b">
        <v>0</v>
      </c>
      <c r="F416" t="s">
        <v>259</v>
      </c>
      <c r="G416">
        <v>16</v>
      </c>
      <c r="H416">
        <v>126451</v>
      </c>
    </row>
    <row r="417" spans="1:8" x14ac:dyDescent="0.25">
      <c r="A417">
        <v>415</v>
      </c>
      <c r="B417">
        <v>4245</v>
      </c>
      <c r="C417">
        <v>23</v>
      </c>
      <c r="D417" t="s">
        <v>13</v>
      </c>
      <c r="E417" t="b">
        <v>0</v>
      </c>
      <c r="F417" t="s">
        <v>260</v>
      </c>
      <c r="G417">
        <v>11</v>
      </c>
      <c r="H417">
        <v>91619</v>
      </c>
    </row>
    <row r="418" spans="1:8" x14ac:dyDescent="0.25">
      <c r="A418">
        <v>416</v>
      </c>
      <c r="B418">
        <v>6736</v>
      </c>
      <c r="C418">
        <v>43</v>
      </c>
      <c r="D418" t="s">
        <v>11</v>
      </c>
      <c r="E418" t="b">
        <v>1</v>
      </c>
      <c r="F418" s="1">
        <v>29168</v>
      </c>
      <c r="G418">
        <v>20</v>
      </c>
      <c r="H418">
        <v>171600</v>
      </c>
    </row>
    <row r="419" spans="1:8" x14ac:dyDescent="0.25">
      <c r="A419">
        <v>417</v>
      </c>
      <c r="B419">
        <v>9276</v>
      </c>
      <c r="C419">
        <v>23</v>
      </c>
      <c r="D419" t="s">
        <v>17</v>
      </c>
      <c r="E419" t="b">
        <v>0</v>
      </c>
      <c r="F419" s="1">
        <v>30531</v>
      </c>
      <c r="G419">
        <v>10</v>
      </c>
      <c r="H419">
        <v>75749</v>
      </c>
    </row>
    <row r="420" spans="1:8" x14ac:dyDescent="0.25">
      <c r="A420">
        <v>418</v>
      </c>
      <c r="B420">
        <v>4411</v>
      </c>
      <c r="C420">
        <v>36</v>
      </c>
      <c r="D420" t="s">
        <v>11</v>
      </c>
      <c r="E420" t="b">
        <v>1</v>
      </c>
      <c r="F420" s="1">
        <v>44147</v>
      </c>
      <c r="G420">
        <v>19</v>
      </c>
      <c r="H420">
        <v>146689</v>
      </c>
    </row>
    <row r="421" spans="1:8" x14ac:dyDescent="0.25">
      <c r="A421">
        <v>419</v>
      </c>
      <c r="B421">
        <v>3693</v>
      </c>
      <c r="C421">
        <v>36</v>
      </c>
      <c r="D421" t="s">
        <v>17</v>
      </c>
      <c r="E421" t="b">
        <v>1</v>
      </c>
      <c r="F421" t="s">
        <v>261</v>
      </c>
      <c r="G421">
        <v>17</v>
      </c>
      <c r="H421">
        <v>141159</v>
      </c>
    </row>
    <row r="422" spans="1:8" x14ac:dyDescent="0.25">
      <c r="A422">
        <v>420</v>
      </c>
      <c r="B422">
        <v>1513</v>
      </c>
      <c r="C422">
        <v>41</v>
      </c>
      <c r="D422" t="s">
        <v>8</v>
      </c>
      <c r="E422" t="b">
        <v>0</v>
      </c>
      <c r="F422" t="s">
        <v>262</v>
      </c>
      <c r="G422">
        <v>18</v>
      </c>
      <c r="H422">
        <v>143584</v>
      </c>
    </row>
    <row r="423" spans="1:8" x14ac:dyDescent="0.25">
      <c r="A423">
        <v>421</v>
      </c>
      <c r="B423">
        <v>6094</v>
      </c>
      <c r="C423">
        <v>30</v>
      </c>
      <c r="D423" t="s">
        <v>11</v>
      </c>
      <c r="E423" t="b">
        <v>1</v>
      </c>
      <c r="F423" t="s">
        <v>263</v>
      </c>
      <c r="G423">
        <v>12</v>
      </c>
      <c r="H423">
        <v>92136</v>
      </c>
    </row>
    <row r="424" spans="1:8" x14ac:dyDescent="0.25">
      <c r="A424">
        <v>422</v>
      </c>
      <c r="B424">
        <v>9908</v>
      </c>
      <c r="C424">
        <v>53</v>
      </c>
      <c r="D424" t="s">
        <v>17</v>
      </c>
      <c r="E424" t="b">
        <v>0</v>
      </c>
      <c r="F424" s="1">
        <v>44719</v>
      </c>
      <c r="G424">
        <v>26</v>
      </c>
      <c r="H424">
        <v>204041</v>
      </c>
    </row>
    <row r="425" spans="1:8" x14ac:dyDescent="0.25">
      <c r="A425">
        <v>423</v>
      </c>
      <c r="B425">
        <v>5991</v>
      </c>
      <c r="C425">
        <v>60</v>
      </c>
      <c r="D425" t="s">
        <v>13</v>
      </c>
      <c r="E425" t="b">
        <v>0</v>
      </c>
      <c r="F425" t="s">
        <v>264</v>
      </c>
      <c r="G425">
        <v>29</v>
      </c>
      <c r="H425">
        <v>227146</v>
      </c>
    </row>
    <row r="426" spans="1:8" x14ac:dyDescent="0.25">
      <c r="A426">
        <v>424</v>
      </c>
      <c r="B426">
        <v>8398</v>
      </c>
      <c r="C426">
        <v>36</v>
      </c>
      <c r="D426" t="s">
        <v>8</v>
      </c>
      <c r="E426" t="b">
        <v>1</v>
      </c>
      <c r="F426" s="1">
        <v>30384</v>
      </c>
      <c r="G426">
        <v>14</v>
      </c>
      <c r="H426">
        <v>107232</v>
      </c>
    </row>
    <row r="427" spans="1:8" x14ac:dyDescent="0.25">
      <c r="A427">
        <v>425</v>
      </c>
      <c r="B427">
        <v>2660</v>
      </c>
      <c r="C427">
        <v>57</v>
      </c>
      <c r="D427" t="s">
        <v>10</v>
      </c>
      <c r="E427" t="b">
        <v>0</v>
      </c>
      <c r="F427" t="s">
        <v>265</v>
      </c>
      <c r="G427">
        <v>28</v>
      </c>
      <c r="H427">
        <v>222824</v>
      </c>
    </row>
    <row r="428" spans="1:8" x14ac:dyDescent="0.25">
      <c r="A428">
        <v>426</v>
      </c>
      <c r="B428">
        <v>7255</v>
      </c>
      <c r="C428">
        <v>37</v>
      </c>
      <c r="D428" t="s">
        <v>8</v>
      </c>
      <c r="E428" t="b">
        <v>0</v>
      </c>
      <c r="F428" t="s">
        <v>266</v>
      </c>
      <c r="G428">
        <v>21</v>
      </c>
      <c r="H428">
        <v>162790</v>
      </c>
    </row>
    <row r="429" spans="1:8" x14ac:dyDescent="0.25">
      <c r="A429">
        <v>427</v>
      </c>
      <c r="B429">
        <v>2687</v>
      </c>
      <c r="C429">
        <v>50</v>
      </c>
      <c r="D429" t="s">
        <v>17</v>
      </c>
      <c r="E429" t="b">
        <v>1</v>
      </c>
      <c r="F429" t="s">
        <v>267</v>
      </c>
      <c r="G429">
        <v>18</v>
      </c>
      <c r="H429">
        <v>150069</v>
      </c>
    </row>
    <row r="430" spans="1:8" x14ac:dyDescent="0.25">
      <c r="A430">
        <v>428</v>
      </c>
      <c r="B430">
        <v>8717</v>
      </c>
      <c r="C430">
        <v>44</v>
      </c>
      <c r="D430" t="s">
        <v>8</v>
      </c>
      <c r="E430" t="b">
        <v>0</v>
      </c>
      <c r="F430" t="s">
        <v>268</v>
      </c>
      <c r="G430">
        <v>22</v>
      </c>
      <c r="H430">
        <v>172707</v>
      </c>
    </row>
    <row r="431" spans="1:8" x14ac:dyDescent="0.25">
      <c r="A431">
        <v>429</v>
      </c>
      <c r="B431">
        <v>1471</v>
      </c>
      <c r="C431">
        <v>49</v>
      </c>
      <c r="D431" t="s">
        <v>17</v>
      </c>
      <c r="E431" t="b">
        <v>0</v>
      </c>
      <c r="F431" s="1">
        <v>44805</v>
      </c>
      <c r="G431">
        <v>25</v>
      </c>
      <c r="H431">
        <v>200491</v>
      </c>
    </row>
    <row r="432" spans="1:8" x14ac:dyDescent="0.25">
      <c r="A432">
        <v>430</v>
      </c>
      <c r="B432">
        <v>3188</v>
      </c>
      <c r="C432">
        <v>64</v>
      </c>
      <c r="D432" t="s">
        <v>8</v>
      </c>
      <c r="E432" t="b">
        <v>0</v>
      </c>
      <c r="F432" t="s">
        <v>269</v>
      </c>
      <c r="G432">
        <v>31</v>
      </c>
      <c r="H432">
        <v>247653</v>
      </c>
    </row>
    <row r="433" spans="1:8" x14ac:dyDescent="0.25">
      <c r="A433">
        <v>431</v>
      </c>
      <c r="B433">
        <v>7435</v>
      </c>
      <c r="C433">
        <v>49</v>
      </c>
      <c r="D433" t="s">
        <v>8</v>
      </c>
      <c r="E433" t="b">
        <v>0</v>
      </c>
      <c r="F433" t="s">
        <v>270</v>
      </c>
      <c r="G433">
        <v>24</v>
      </c>
      <c r="H433">
        <v>191755</v>
      </c>
    </row>
    <row r="434" spans="1:8" x14ac:dyDescent="0.25">
      <c r="A434">
        <v>432</v>
      </c>
      <c r="B434">
        <v>2002</v>
      </c>
      <c r="C434">
        <v>27</v>
      </c>
      <c r="D434" t="s">
        <v>10</v>
      </c>
      <c r="E434" t="b">
        <v>1</v>
      </c>
      <c r="F434" s="1">
        <v>29100</v>
      </c>
      <c r="G434">
        <v>15</v>
      </c>
      <c r="H434">
        <v>125131</v>
      </c>
    </row>
    <row r="435" spans="1:8" x14ac:dyDescent="0.25">
      <c r="A435">
        <v>433</v>
      </c>
      <c r="B435">
        <v>5880</v>
      </c>
      <c r="C435">
        <v>42</v>
      </c>
      <c r="D435" t="s">
        <v>10</v>
      </c>
      <c r="E435" t="b">
        <v>0</v>
      </c>
      <c r="F435" t="s">
        <v>271</v>
      </c>
      <c r="G435">
        <v>21</v>
      </c>
      <c r="H435">
        <v>164265</v>
      </c>
    </row>
    <row r="436" spans="1:8" x14ac:dyDescent="0.25">
      <c r="A436">
        <v>434</v>
      </c>
      <c r="B436">
        <v>4796</v>
      </c>
      <c r="C436">
        <v>28</v>
      </c>
      <c r="D436" t="s">
        <v>10</v>
      </c>
      <c r="E436" t="b">
        <v>0</v>
      </c>
      <c r="F436" t="s">
        <v>272</v>
      </c>
      <c r="G436">
        <v>15</v>
      </c>
      <c r="H436">
        <v>109701</v>
      </c>
    </row>
    <row r="437" spans="1:8" x14ac:dyDescent="0.25">
      <c r="A437">
        <v>435</v>
      </c>
      <c r="B437">
        <v>7768</v>
      </c>
      <c r="C437">
        <v>53</v>
      </c>
      <c r="D437" t="s">
        <v>10</v>
      </c>
      <c r="E437" t="b">
        <v>0</v>
      </c>
      <c r="F437" s="1">
        <v>36471</v>
      </c>
      <c r="G437">
        <v>29</v>
      </c>
      <c r="H437">
        <v>238477</v>
      </c>
    </row>
    <row r="438" spans="1:8" x14ac:dyDescent="0.25">
      <c r="A438">
        <v>436</v>
      </c>
      <c r="B438">
        <v>4407</v>
      </c>
      <c r="C438">
        <v>48</v>
      </c>
      <c r="D438" t="s">
        <v>13</v>
      </c>
      <c r="E438" t="b">
        <v>0</v>
      </c>
      <c r="F438" s="1">
        <v>26090</v>
      </c>
      <c r="G438">
        <v>24</v>
      </c>
      <c r="H438">
        <v>193938</v>
      </c>
    </row>
    <row r="439" spans="1:8" x14ac:dyDescent="0.25">
      <c r="A439">
        <v>437</v>
      </c>
      <c r="B439">
        <v>4747</v>
      </c>
      <c r="C439">
        <v>49</v>
      </c>
      <c r="D439" t="s">
        <v>11</v>
      </c>
      <c r="E439" t="b">
        <v>0</v>
      </c>
      <c r="F439" t="s">
        <v>273</v>
      </c>
      <c r="G439">
        <v>20</v>
      </c>
      <c r="H439">
        <v>156976</v>
      </c>
    </row>
    <row r="440" spans="1:8" x14ac:dyDescent="0.25">
      <c r="A440">
        <v>438</v>
      </c>
      <c r="B440">
        <v>9893</v>
      </c>
      <c r="C440">
        <v>54</v>
      </c>
      <c r="D440" t="s">
        <v>10</v>
      </c>
      <c r="E440" t="b">
        <v>0</v>
      </c>
      <c r="F440" t="s">
        <v>274</v>
      </c>
      <c r="G440">
        <v>29</v>
      </c>
      <c r="H440">
        <v>229200</v>
      </c>
    </row>
    <row r="441" spans="1:8" x14ac:dyDescent="0.25">
      <c r="A441">
        <v>439</v>
      </c>
      <c r="B441">
        <v>1779</v>
      </c>
      <c r="C441">
        <v>47</v>
      </c>
      <c r="D441" t="s">
        <v>10</v>
      </c>
      <c r="E441" t="b">
        <v>0</v>
      </c>
      <c r="F441" t="s">
        <v>275</v>
      </c>
      <c r="G441">
        <v>24</v>
      </c>
      <c r="H441">
        <v>194985</v>
      </c>
    </row>
    <row r="442" spans="1:8" x14ac:dyDescent="0.25">
      <c r="A442">
        <v>440</v>
      </c>
      <c r="B442">
        <v>3531</v>
      </c>
      <c r="C442">
        <v>40</v>
      </c>
      <c r="D442" t="s">
        <v>13</v>
      </c>
      <c r="E442" t="b">
        <v>1</v>
      </c>
      <c r="F442" s="1">
        <v>26698</v>
      </c>
      <c r="G442">
        <v>19</v>
      </c>
      <c r="H442">
        <v>150665</v>
      </c>
    </row>
    <row r="443" spans="1:8" x14ac:dyDescent="0.25">
      <c r="A443">
        <v>441</v>
      </c>
      <c r="B443">
        <v>9943</v>
      </c>
      <c r="C443">
        <v>45</v>
      </c>
      <c r="D443" t="s">
        <v>11</v>
      </c>
      <c r="E443" t="b">
        <v>0</v>
      </c>
      <c r="F443" s="1">
        <v>30200</v>
      </c>
      <c r="G443">
        <v>22</v>
      </c>
      <c r="H443">
        <v>187991</v>
      </c>
    </row>
    <row r="444" spans="1:8" x14ac:dyDescent="0.25">
      <c r="A444">
        <v>442</v>
      </c>
      <c r="B444">
        <v>6308</v>
      </c>
      <c r="C444">
        <v>55</v>
      </c>
      <c r="D444" t="s">
        <v>11</v>
      </c>
      <c r="E444" t="b">
        <v>0</v>
      </c>
      <c r="F444" s="1">
        <v>41040</v>
      </c>
      <c r="G444">
        <v>26</v>
      </c>
      <c r="H444">
        <v>202446</v>
      </c>
    </row>
    <row r="445" spans="1:8" x14ac:dyDescent="0.25">
      <c r="A445">
        <v>443</v>
      </c>
      <c r="B445">
        <v>4784</v>
      </c>
      <c r="C445">
        <v>55</v>
      </c>
      <c r="D445" t="s">
        <v>8</v>
      </c>
      <c r="E445" t="b">
        <v>1</v>
      </c>
      <c r="F445" t="s">
        <v>276</v>
      </c>
      <c r="G445">
        <v>25</v>
      </c>
      <c r="H445">
        <v>203933</v>
      </c>
    </row>
    <row r="446" spans="1:8" x14ac:dyDescent="0.25">
      <c r="A446">
        <v>444</v>
      </c>
      <c r="B446">
        <v>8665</v>
      </c>
      <c r="C446">
        <v>59</v>
      </c>
      <c r="D446" t="s">
        <v>10</v>
      </c>
      <c r="E446" t="b">
        <v>1</v>
      </c>
      <c r="F446" t="s">
        <v>277</v>
      </c>
      <c r="G446">
        <v>29</v>
      </c>
      <c r="H446">
        <v>234277</v>
      </c>
    </row>
    <row r="447" spans="1:8" x14ac:dyDescent="0.25">
      <c r="A447">
        <v>445</v>
      </c>
      <c r="B447">
        <v>8492</v>
      </c>
      <c r="C447">
        <v>54</v>
      </c>
      <c r="D447" t="s">
        <v>13</v>
      </c>
      <c r="E447" t="b">
        <v>1</v>
      </c>
      <c r="F447" t="s">
        <v>278</v>
      </c>
      <c r="G447">
        <v>28</v>
      </c>
      <c r="H447">
        <v>225715</v>
      </c>
    </row>
    <row r="448" spans="1:8" x14ac:dyDescent="0.25">
      <c r="A448">
        <v>446</v>
      </c>
      <c r="B448">
        <v>2639</v>
      </c>
      <c r="C448">
        <v>24</v>
      </c>
      <c r="D448" t="s">
        <v>13</v>
      </c>
      <c r="E448" t="b">
        <v>0</v>
      </c>
      <c r="F448" t="s">
        <v>279</v>
      </c>
      <c r="G448">
        <v>10</v>
      </c>
      <c r="H448">
        <v>75812</v>
      </c>
    </row>
    <row r="449" spans="1:8" x14ac:dyDescent="0.25">
      <c r="A449">
        <v>447</v>
      </c>
      <c r="B449">
        <v>3328</v>
      </c>
      <c r="C449">
        <v>24</v>
      </c>
      <c r="D449" t="s">
        <v>10</v>
      </c>
      <c r="E449" t="b">
        <v>1</v>
      </c>
      <c r="F449" s="1">
        <v>31786</v>
      </c>
      <c r="G449">
        <v>8</v>
      </c>
      <c r="H449">
        <v>68134</v>
      </c>
    </row>
    <row r="450" spans="1:8" x14ac:dyDescent="0.25">
      <c r="A450">
        <v>448</v>
      </c>
      <c r="B450">
        <v>3255</v>
      </c>
      <c r="C450">
        <v>48</v>
      </c>
      <c r="D450" t="s">
        <v>8</v>
      </c>
      <c r="E450" t="b">
        <v>0</v>
      </c>
      <c r="F450" t="s">
        <v>280</v>
      </c>
      <c r="G450">
        <v>20</v>
      </c>
      <c r="H450">
        <v>155985</v>
      </c>
    </row>
    <row r="451" spans="1:8" x14ac:dyDescent="0.25">
      <c r="A451">
        <v>449</v>
      </c>
      <c r="B451">
        <v>4651</v>
      </c>
      <c r="C451">
        <v>50</v>
      </c>
      <c r="D451" t="s">
        <v>8</v>
      </c>
      <c r="E451" t="b">
        <v>1</v>
      </c>
      <c r="F451" s="1">
        <v>37808</v>
      </c>
      <c r="G451">
        <v>27</v>
      </c>
      <c r="H451">
        <v>222685</v>
      </c>
    </row>
    <row r="452" spans="1:8" x14ac:dyDescent="0.25">
      <c r="A452">
        <v>450</v>
      </c>
      <c r="B452">
        <v>6391</v>
      </c>
      <c r="C452">
        <v>49</v>
      </c>
      <c r="D452" t="s">
        <v>10</v>
      </c>
      <c r="E452" t="b">
        <v>0</v>
      </c>
      <c r="F452" t="s">
        <v>281</v>
      </c>
      <c r="G452">
        <v>28</v>
      </c>
      <c r="H452">
        <v>220500</v>
      </c>
    </row>
    <row r="453" spans="1:8" x14ac:dyDescent="0.25">
      <c r="A453">
        <v>451</v>
      </c>
      <c r="B453">
        <v>9655</v>
      </c>
      <c r="C453">
        <v>31</v>
      </c>
      <c r="D453" t="s">
        <v>8</v>
      </c>
      <c r="E453" t="b">
        <v>1</v>
      </c>
      <c r="F453" t="s">
        <v>282</v>
      </c>
      <c r="G453">
        <v>15</v>
      </c>
      <c r="H453">
        <v>126388</v>
      </c>
    </row>
    <row r="454" spans="1:8" x14ac:dyDescent="0.25">
      <c r="A454">
        <v>452</v>
      </c>
      <c r="B454">
        <v>6856</v>
      </c>
      <c r="C454">
        <v>37</v>
      </c>
      <c r="D454" t="s">
        <v>10</v>
      </c>
      <c r="E454" t="b">
        <v>1</v>
      </c>
      <c r="F454" s="1">
        <v>39702</v>
      </c>
      <c r="G454">
        <v>21</v>
      </c>
      <c r="H454">
        <v>169212</v>
      </c>
    </row>
    <row r="455" spans="1:8" x14ac:dyDescent="0.25">
      <c r="A455">
        <v>453</v>
      </c>
      <c r="B455">
        <v>7141</v>
      </c>
      <c r="C455">
        <v>45</v>
      </c>
      <c r="D455" t="s">
        <v>13</v>
      </c>
      <c r="E455" t="b">
        <v>1</v>
      </c>
      <c r="F455" t="s">
        <v>283</v>
      </c>
      <c r="G455">
        <v>24</v>
      </c>
      <c r="H455">
        <v>186015</v>
      </c>
    </row>
    <row r="456" spans="1:8" x14ac:dyDescent="0.25">
      <c r="A456">
        <v>454</v>
      </c>
      <c r="B456">
        <v>2259</v>
      </c>
      <c r="C456">
        <v>52</v>
      </c>
      <c r="D456" t="s">
        <v>8</v>
      </c>
      <c r="E456" t="b">
        <v>1</v>
      </c>
      <c r="F456" s="1">
        <v>44595</v>
      </c>
      <c r="G456">
        <v>27</v>
      </c>
      <c r="H456">
        <v>217544</v>
      </c>
    </row>
    <row r="457" spans="1:8" x14ac:dyDescent="0.25">
      <c r="A457">
        <v>455</v>
      </c>
      <c r="B457">
        <v>5518</v>
      </c>
      <c r="C457">
        <v>33</v>
      </c>
      <c r="D457" t="s">
        <v>11</v>
      </c>
      <c r="E457" t="b">
        <v>1</v>
      </c>
      <c r="F457" s="1">
        <v>44533</v>
      </c>
      <c r="G457">
        <v>17</v>
      </c>
      <c r="H457">
        <v>128767</v>
      </c>
    </row>
    <row r="458" spans="1:8" x14ac:dyDescent="0.25">
      <c r="A458">
        <v>456</v>
      </c>
      <c r="B458">
        <v>5641</v>
      </c>
      <c r="C458">
        <v>60</v>
      </c>
      <c r="D458" t="s">
        <v>11</v>
      </c>
      <c r="E458" t="b">
        <v>0</v>
      </c>
      <c r="F458" t="s">
        <v>284</v>
      </c>
      <c r="G458">
        <v>27</v>
      </c>
      <c r="H458">
        <v>216812</v>
      </c>
    </row>
    <row r="459" spans="1:8" x14ac:dyDescent="0.25">
      <c r="A459">
        <v>457</v>
      </c>
      <c r="B459">
        <v>8734</v>
      </c>
      <c r="C459">
        <v>50</v>
      </c>
      <c r="D459" t="s">
        <v>13</v>
      </c>
      <c r="E459" t="b">
        <v>0</v>
      </c>
      <c r="F459" t="s">
        <v>285</v>
      </c>
      <c r="G459">
        <v>21</v>
      </c>
      <c r="H459">
        <v>174984</v>
      </c>
    </row>
    <row r="460" spans="1:8" x14ac:dyDescent="0.25">
      <c r="A460">
        <v>458</v>
      </c>
      <c r="B460">
        <v>7473</v>
      </c>
      <c r="C460">
        <v>49</v>
      </c>
      <c r="D460" t="s">
        <v>10</v>
      </c>
      <c r="E460" t="b">
        <v>1</v>
      </c>
      <c r="F460" s="1">
        <v>26673</v>
      </c>
      <c r="G460">
        <v>24</v>
      </c>
      <c r="H460">
        <v>192274</v>
      </c>
    </row>
    <row r="461" spans="1:8" x14ac:dyDescent="0.25">
      <c r="A461">
        <v>459</v>
      </c>
      <c r="B461">
        <v>8293</v>
      </c>
      <c r="C461">
        <v>52</v>
      </c>
      <c r="D461" t="s">
        <v>17</v>
      </c>
      <c r="E461" t="b">
        <v>1</v>
      </c>
      <c r="F461" s="1">
        <v>44441</v>
      </c>
      <c r="G461">
        <v>28</v>
      </c>
      <c r="H461">
        <v>216683</v>
      </c>
    </row>
    <row r="462" spans="1:8" x14ac:dyDescent="0.25">
      <c r="A462">
        <v>460</v>
      </c>
      <c r="B462">
        <v>1014</v>
      </c>
      <c r="C462">
        <v>51</v>
      </c>
      <c r="D462" t="s">
        <v>13</v>
      </c>
      <c r="E462" t="b">
        <v>0</v>
      </c>
      <c r="F462" t="s">
        <v>286</v>
      </c>
      <c r="G462">
        <v>22</v>
      </c>
      <c r="H462">
        <v>184887</v>
      </c>
    </row>
    <row r="463" spans="1:8" x14ac:dyDescent="0.25">
      <c r="A463">
        <v>461</v>
      </c>
      <c r="B463">
        <v>4824</v>
      </c>
      <c r="C463">
        <v>42</v>
      </c>
      <c r="D463" t="s">
        <v>10</v>
      </c>
      <c r="E463" t="b">
        <v>1</v>
      </c>
      <c r="F463" t="s">
        <v>287</v>
      </c>
      <c r="G463">
        <v>21</v>
      </c>
      <c r="H463">
        <v>160580</v>
      </c>
    </row>
    <row r="464" spans="1:8" x14ac:dyDescent="0.25">
      <c r="A464">
        <v>462</v>
      </c>
      <c r="B464">
        <v>8260</v>
      </c>
      <c r="C464">
        <v>55</v>
      </c>
      <c r="D464" t="s">
        <v>11</v>
      </c>
      <c r="E464" t="b">
        <v>0</v>
      </c>
      <c r="F464" t="s">
        <v>288</v>
      </c>
      <c r="G464">
        <v>30</v>
      </c>
      <c r="H464">
        <v>245031</v>
      </c>
    </row>
    <row r="465" spans="1:8" x14ac:dyDescent="0.25">
      <c r="A465">
        <v>463</v>
      </c>
      <c r="B465">
        <v>8101</v>
      </c>
      <c r="C465">
        <v>52</v>
      </c>
      <c r="D465" t="s">
        <v>13</v>
      </c>
      <c r="E465" t="b">
        <v>1</v>
      </c>
      <c r="F465" t="s">
        <v>289</v>
      </c>
      <c r="G465">
        <v>19</v>
      </c>
      <c r="H465">
        <v>148735</v>
      </c>
    </row>
    <row r="466" spans="1:8" x14ac:dyDescent="0.25">
      <c r="A466">
        <v>464</v>
      </c>
      <c r="B466">
        <v>1488</v>
      </c>
      <c r="C466">
        <v>44</v>
      </c>
      <c r="D466" t="s">
        <v>13</v>
      </c>
      <c r="E466" t="b">
        <v>1</v>
      </c>
      <c r="F466" t="s">
        <v>290</v>
      </c>
      <c r="G466">
        <v>19</v>
      </c>
      <c r="H466">
        <v>150934</v>
      </c>
    </row>
    <row r="467" spans="1:8" x14ac:dyDescent="0.25">
      <c r="A467">
        <v>465</v>
      </c>
      <c r="B467">
        <v>9373</v>
      </c>
      <c r="C467">
        <v>52</v>
      </c>
      <c r="D467" t="s">
        <v>11</v>
      </c>
      <c r="E467" t="b">
        <v>1</v>
      </c>
      <c r="F467" s="1">
        <v>36839</v>
      </c>
      <c r="G467">
        <v>31</v>
      </c>
      <c r="H467">
        <v>249071</v>
      </c>
    </row>
    <row r="468" spans="1:8" x14ac:dyDescent="0.25">
      <c r="A468">
        <v>466</v>
      </c>
      <c r="B468">
        <v>2643</v>
      </c>
      <c r="C468">
        <v>53</v>
      </c>
      <c r="D468" t="s">
        <v>13</v>
      </c>
      <c r="E468" t="b">
        <v>0</v>
      </c>
      <c r="F468" s="1">
        <v>33240</v>
      </c>
      <c r="G468">
        <v>29</v>
      </c>
      <c r="H468">
        <v>235550</v>
      </c>
    </row>
    <row r="469" spans="1:8" x14ac:dyDescent="0.25">
      <c r="A469">
        <v>467</v>
      </c>
      <c r="B469">
        <v>1498</v>
      </c>
      <c r="C469">
        <v>36</v>
      </c>
      <c r="D469" t="s">
        <v>10</v>
      </c>
      <c r="E469" t="b">
        <v>0</v>
      </c>
      <c r="F469" s="1">
        <v>31995</v>
      </c>
      <c r="G469">
        <v>19</v>
      </c>
      <c r="H469">
        <v>151124</v>
      </c>
    </row>
    <row r="470" spans="1:8" x14ac:dyDescent="0.25">
      <c r="A470">
        <v>468</v>
      </c>
      <c r="B470">
        <v>1515</v>
      </c>
      <c r="C470">
        <v>39</v>
      </c>
      <c r="D470" t="s">
        <v>10</v>
      </c>
      <c r="E470" t="b">
        <v>0</v>
      </c>
      <c r="F470" s="1">
        <v>39335</v>
      </c>
      <c r="G470">
        <v>17</v>
      </c>
      <c r="H470">
        <v>140001</v>
      </c>
    </row>
    <row r="471" spans="1:8" x14ac:dyDescent="0.25">
      <c r="A471">
        <v>469</v>
      </c>
      <c r="B471">
        <v>1919</v>
      </c>
      <c r="C471">
        <v>23</v>
      </c>
      <c r="D471" t="s">
        <v>13</v>
      </c>
      <c r="E471" t="b">
        <v>1</v>
      </c>
      <c r="F471" s="1">
        <v>31268</v>
      </c>
      <c r="G471">
        <v>10</v>
      </c>
      <c r="H471">
        <v>78834</v>
      </c>
    </row>
    <row r="472" spans="1:8" x14ac:dyDescent="0.25">
      <c r="A472">
        <v>470</v>
      </c>
      <c r="B472">
        <v>4464</v>
      </c>
      <c r="C472">
        <v>27</v>
      </c>
      <c r="D472" t="s">
        <v>17</v>
      </c>
      <c r="E472" t="b">
        <v>1</v>
      </c>
      <c r="F472" s="1">
        <v>26150</v>
      </c>
      <c r="G472">
        <v>10</v>
      </c>
      <c r="H472">
        <v>82592</v>
      </c>
    </row>
    <row r="473" spans="1:8" x14ac:dyDescent="0.25">
      <c r="A473">
        <v>471</v>
      </c>
      <c r="B473">
        <v>6062</v>
      </c>
      <c r="C473">
        <v>27</v>
      </c>
      <c r="D473" t="s">
        <v>13</v>
      </c>
      <c r="E473" t="b">
        <v>0</v>
      </c>
      <c r="F473" t="s">
        <v>291</v>
      </c>
      <c r="G473">
        <v>14</v>
      </c>
      <c r="H473">
        <v>115688</v>
      </c>
    </row>
    <row r="474" spans="1:8" x14ac:dyDescent="0.25">
      <c r="A474">
        <v>472</v>
      </c>
      <c r="B474">
        <v>8609</v>
      </c>
      <c r="C474">
        <v>60</v>
      </c>
      <c r="D474" t="s">
        <v>10</v>
      </c>
      <c r="E474" t="b">
        <v>0</v>
      </c>
      <c r="F474" t="s">
        <v>292</v>
      </c>
      <c r="G474">
        <v>33</v>
      </c>
      <c r="H474">
        <v>263818</v>
      </c>
    </row>
    <row r="475" spans="1:8" x14ac:dyDescent="0.25">
      <c r="A475">
        <v>473</v>
      </c>
      <c r="B475">
        <v>3523</v>
      </c>
      <c r="C475">
        <v>45</v>
      </c>
      <c r="D475" t="s">
        <v>13</v>
      </c>
      <c r="E475" t="b">
        <v>0</v>
      </c>
      <c r="F475" s="1">
        <v>28708</v>
      </c>
      <c r="G475">
        <v>23</v>
      </c>
      <c r="H475">
        <v>178139</v>
      </c>
    </row>
    <row r="476" spans="1:8" x14ac:dyDescent="0.25">
      <c r="A476">
        <v>474</v>
      </c>
      <c r="B476">
        <v>7576</v>
      </c>
      <c r="C476">
        <v>48</v>
      </c>
      <c r="D476" t="s">
        <v>10</v>
      </c>
      <c r="E476" t="b">
        <v>1</v>
      </c>
      <c r="F476" t="s">
        <v>293</v>
      </c>
      <c r="G476">
        <v>24</v>
      </c>
      <c r="H476">
        <v>194575</v>
      </c>
    </row>
    <row r="477" spans="1:8" x14ac:dyDescent="0.25">
      <c r="A477">
        <v>475</v>
      </c>
      <c r="B477">
        <v>9175</v>
      </c>
      <c r="C477">
        <v>44</v>
      </c>
      <c r="D477" t="s">
        <v>10</v>
      </c>
      <c r="E477" t="b">
        <v>1</v>
      </c>
      <c r="F477" t="s">
        <v>294</v>
      </c>
      <c r="G477">
        <v>27</v>
      </c>
      <c r="H477">
        <v>213467</v>
      </c>
    </row>
    <row r="478" spans="1:8" x14ac:dyDescent="0.25">
      <c r="A478">
        <v>476</v>
      </c>
      <c r="B478">
        <v>4299</v>
      </c>
      <c r="C478">
        <v>43</v>
      </c>
      <c r="D478" t="s">
        <v>10</v>
      </c>
      <c r="E478" t="b">
        <v>1</v>
      </c>
      <c r="F478" t="s">
        <v>295</v>
      </c>
      <c r="G478">
        <v>19</v>
      </c>
      <c r="H478">
        <v>155006</v>
      </c>
    </row>
    <row r="479" spans="1:8" x14ac:dyDescent="0.25">
      <c r="A479">
        <v>477</v>
      </c>
      <c r="B479">
        <v>1747</v>
      </c>
      <c r="C479">
        <v>51</v>
      </c>
      <c r="D479" t="s">
        <v>11</v>
      </c>
      <c r="E479" t="b">
        <v>1</v>
      </c>
      <c r="F479" t="s">
        <v>296</v>
      </c>
      <c r="G479">
        <v>24</v>
      </c>
      <c r="H479">
        <v>192646</v>
      </c>
    </row>
    <row r="480" spans="1:8" x14ac:dyDescent="0.25">
      <c r="A480">
        <v>478</v>
      </c>
      <c r="B480">
        <v>5284</v>
      </c>
      <c r="C480">
        <v>62</v>
      </c>
      <c r="D480" t="s">
        <v>17</v>
      </c>
      <c r="E480" t="b">
        <v>0</v>
      </c>
      <c r="F480" t="s">
        <v>297</v>
      </c>
      <c r="G480">
        <v>29</v>
      </c>
      <c r="H480">
        <v>232123</v>
      </c>
    </row>
    <row r="481" spans="1:8" x14ac:dyDescent="0.25">
      <c r="A481">
        <v>479</v>
      </c>
      <c r="B481">
        <v>3907</v>
      </c>
      <c r="C481">
        <v>56</v>
      </c>
      <c r="D481" t="s">
        <v>10</v>
      </c>
      <c r="E481" t="b">
        <v>1</v>
      </c>
      <c r="F481" t="s">
        <v>298</v>
      </c>
      <c r="G481">
        <v>29</v>
      </c>
      <c r="H481">
        <v>229395</v>
      </c>
    </row>
    <row r="482" spans="1:8" x14ac:dyDescent="0.25">
      <c r="A482">
        <v>480</v>
      </c>
      <c r="B482">
        <v>3543</v>
      </c>
      <c r="C482">
        <v>45</v>
      </c>
      <c r="D482" t="s">
        <v>11</v>
      </c>
      <c r="E482" t="b">
        <v>0</v>
      </c>
      <c r="F482" t="s">
        <v>299</v>
      </c>
      <c r="G482">
        <v>25</v>
      </c>
      <c r="H482">
        <v>202850</v>
      </c>
    </row>
    <row r="483" spans="1:8" x14ac:dyDescent="0.25">
      <c r="A483">
        <v>481</v>
      </c>
      <c r="B483">
        <v>5168</v>
      </c>
      <c r="C483">
        <v>23</v>
      </c>
      <c r="D483" t="s">
        <v>17</v>
      </c>
      <c r="E483" t="b">
        <v>1</v>
      </c>
      <c r="F483" t="s">
        <v>300</v>
      </c>
      <c r="G483">
        <v>10</v>
      </c>
      <c r="H483">
        <v>85536</v>
      </c>
    </row>
    <row r="484" spans="1:8" x14ac:dyDescent="0.25">
      <c r="A484">
        <v>482</v>
      </c>
      <c r="B484">
        <v>2060</v>
      </c>
      <c r="C484">
        <v>42</v>
      </c>
      <c r="D484" t="s">
        <v>13</v>
      </c>
      <c r="E484" t="b">
        <v>1</v>
      </c>
      <c r="F484" t="s">
        <v>301</v>
      </c>
      <c r="G484">
        <v>21</v>
      </c>
      <c r="H484">
        <v>172003</v>
      </c>
    </row>
    <row r="485" spans="1:8" x14ac:dyDescent="0.25">
      <c r="A485">
        <v>483</v>
      </c>
      <c r="B485">
        <v>5476</v>
      </c>
      <c r="C485">
        <v>56</v>
      </c>
      <c r="D485" t="s">
        <v>8</v>
      </c>
      <c r="E485" t="b">
        <v>0</v>
      </c>
      <c r="F485" s="1">
        <v>40645</v>
      </c>
      <c r="G485">
        <v>29</v>
      </c>
      <c r="H485">
        <v>235111</v>
      </c>
    </row>
    <row r="486" spans="1:8" x14ac:dyDescent="0.25">
      <c r="A486">
        <v>484</v>
      </c>
      <c r="B486">
        <v>5336</v>
      </c>
      <c r="C486">
        <v>60</v>
      </c>
      <c r="D486" t="s">
        <v>10</v>
      </c>
      <c r="E486" t="b">
        <v>1</v>
      </c>
      <c r="F486" t="s">
        <v>302</v>
      </c>
      <c r="G486">
        <v>32</v>
      </c>
      <c r="H486">
        <v>248177</v>
      </c>
    </row>
    <row r="487" spans="1:8" x14ac:dyDescent="0.25">
      <c r="A487">
        <v>485</v>
      </c>
      <c r="B487">
        <v>7226</v>
      </c>
      <c r="C487">
        <v>38</v>
      </c>
      <c r="D487" t="s">
        <v>13</v>
      </c>
      <c r="E487" t="b">
        <v>1</v>
      </c>
      <c r="F487" t="s">
        <v>303</v>
      </c>
      <c r="G487">
        <v>25</v>
      </c>
      <c r="H487">
        <v>199358</v>
      </c>
    </row>
    <row r="488" spans="1:8" x14ac:dyDescent="0.25">
      <c r="A488">
        <v>486</v>
      </c>
      <c r="B488">
        <v>7799</v>
      </c>
      <c r="C488">
        <v>42</v>
      </c>
      <c r="D488" t="s">
        <v>8</v>
      </c>
      <c r="E488" t="b">
        <v>0</v>
      </c>
      <c r="F488" t="s">
        <v>304</v>
      </c>
      <c r="G488">
        <v>24</v>
      </c>
      <c r="H488">
        <v>189242</v>
      </c>
    </row>
    <row r="489" spans="1:8" x14ac:dyDescent="0.25">
      <c r="A489">
        <v>487</v>
      </c>
      <c r="B489">
        <v>1518</v>
      </c>
      <c r="C489">
        <v>35</v>
      </c>
      <c r="D489" t="s">
        <v>10</v>
      </c>
      <c r="E489" t="b">
        <v>1</v>
      </c>
      <c r="F489" t="s">
        <v>305</v>
      </c>
      <c r="G489">
        <v>14</v>
      </c>
      <c r="H489">
        <v>115170</v>
      </c>
    </row>
    <row r="490" spans="1:8" x14ac:dyDescent="0.25">
      <c r="A490">
        <v>488</v>
      </c>
      <c r="B490">
        <v>5175</v>
      </c>
      <c r="C490">
        <v>64</v>
      </c>
      <c r="D490" t="s">
        <v>17</v>
      </c>
      <c r="E490" t="b">
        <v>0</v>
      </c>
      <c r="F490" s="1">
        <v>36901</v>
      </c>
      <c r="G490">
        <v>35</v>
      </c>
      <c r="H490">
        <v>285886</v>
      </c>
    </row>
    <row r="491" spans="1:8" x14ac:dyDescent="0.25">
      <c r="A491">
        <v>489</v>
      </c>
      <c r="B491">
        <v>8349</v>
      </c>
      <c r="C491">
        <v>48</v>
      </c>
      <c r="D491" t="s">
        <v>17</v>
      </c>
      <c r="E491" t="b">
        <v>1</v>
      </c>
      <c r="F491" t="s">
        <v>306</v>
      </c>
      <c r="G491">
        <v>23</v>
      </c>
      <c r="H491">
        <v>177664</v>
      </c>
    </row>
    <row r="492" spans="1:8" x14ac:dyDescent="0.25">
      <c r="A492">
        <v>490</v>
      </c>
      <c r="B492">
        <v>2319</v>
      </c>
      <c r="C492">
        <v>29</v>
      </c>
      <c r="D492" t="s">
        <v>11</v>
      </c>
      <c r="E492" t="b">
        <v>0</v>
      </c>
      <c r="F492" s="1">
        <v>31603</v>
      </c>
      <c r="G492">
        <v>15</v>
      </c>
      <c r="H492">
        <v>113358</v>
      </c>
    </row>
    <row r="493" spans="1:8" x14ac:dyDescent="0.25">
      <c r="A493">
        <v>491</v>
      </c>
      <c r="B493">
        <v>5357</v>
      </c>
      <c r="C493">
        <v>27</v>
      </c>
      <c r="D493" t="s">
        <v>8</v>
      </c>
      <c r="E493" t="b">
        <v>1</v>
      </c>
      <c r="F493" t="s">
        <v>307</v>
      </c>
      <c r="G493">
        <v>14</v>
      </c>
      <c r="H493">
        <v>115037</v>
      </c>
    </row>
    <row r="494" spans="1:8" x14ac:dyDescent="0.25">
      <c r="A494">
        <v>492</v>
      </c>
      <c r="B494">
        <v>6309</v>
      </c>
      <c r="C494">
        <v>43</v>
      </c>
      <c r="D494" t="s">
        <v>13</v>
      </c>
      <c r="E494" t="b">
        <v>1</v>
      </c>
      <c r="F494" t="s">
        <v>308</v>
      </c>
      <c r="G494">
        <v>23</v>
      </c>
      <c r="H494">
        <v>183906</v>
      </c>
    </row>
    <row r="495" spans="1:8" x14ac:dyDescent="0.25">
      <c r="A495">
        <v>493</v>
      </c>
      <c r="B495">
        <v>3870</v>
      </c>
      <c r="C495">
        <v>42</v>
      </c>
      <c r="D495" t="s">
        <v>17</v>
      </c>
      <c r="E495" t="b">
        <v>0</v>
      </c>
      <c r="F495" t="s">
        <v>309</v>
      </c>
      <c r="G495">
        <v>22</v>
      </c>
      <c r="H495">
        <v>176978</v>
      </c>
    </row>
    <row r="496" spans="1:8" x14ac:dyDescent="0.25">
      <c r="A496">
        <v>494</v>
      </c>
      <c r="B496">
        <v>3740</v>
      </c>
      <c r="C496">
        <v>59</v>
      </c>
      <c r="D496" t="s">
        <v>13</v>
      </c>
      <c r="E496" t="b">
        <v>0</v>
      </c>
      <c r="F496" t="s">
        <v>310</v>
      </c>
      <c r="G496">
        <v>31</v>
      </c>
      <c r="H496">
        <v>257256</v>
      </c>
    </row>
    <row r="497" spans="1:8" x14ac:dyDescent="0.25">
      <c r="A497">
        <v>495</v>
      </c>
      <c r="B497">
        <v>8426</v>
      </c>
      <c r="C497">
        <v>32</v>
      </c>
      <c r="D497" t="s">
        <v>11</v>
      </c>
      <c r="E497" t="b">
        <v>1</v>
      </c>
      <c r="F497" s="1">
        <v>41376</v>
      </c>
      <c r="G497">
        <v>16</v>
      </c>
      <c r="H497">
        <v>126088</v>
      </c>
    </row>
    <row r="498" spans="1:8" x14ac:dyDescent="0.25">
      <c r="A498">
        <v>496</v>
      </c>
      <c r="B498">
        <v>9810</v>
      </c>
      <c r="C498">
        <v>26</v>
      </c>
      <c r="D498" t="s">
        <v>17</v>
      </c>
      <c r="E498" t="b">
        <v>1</v>
      </c>
      <c r="F498" s="1">
        <v>44597</v>
      </c>
      <c r="G498">
        <v>15</v>
      </c>
      <c r="H498">
        <v>118094</v>
      </c>
    </row>
    <row r="499" spans="1:8" x14ac:dyDescent="0.25">
      <c r="A499">
        <v>497</v>
      </c>
      <c r="B499">
        <v>5396</v>
      </c>
      <c r="C499">
        <v>34</v>
      </c>
      <c r="D499" t="s">
        <v>8</v>
      </c>
      <c r="E499" t="b">
        <v>0</v>
      </c>
      <c r="F499" t="s">
        <v>311</v>
      </c>
      <c r="G499">
        <v>16</v>
      </c>
      <c r="H499">
        <v>131208</v>
      </c>
    </row>
    <row r="500" spans="1:8" x14ac:dyDescent="0.25">
      <c r="A500">
        <v>498</v>
      </c>
      <c r="B500">
        <v>7546</v>
      </c>
      <c r="C500">
        <v>60</v>
      </c>
      <c r="D500" t="s">
        <v>13</v>
      </c>
      <c r="E500" t="b">
        <v>0</v>
      </c>
      <c r="F500" t="s">
        <v>312</v>
      </c>
      <c r="G500">
        <v>28</v>
      </c>
      <c r="H500">
        <v>224502</v>
      </c>
    </row>
    <row r="501" spans="1:8" x14ac:dyDescent="0.25">
      <c r="A501">
        <v>499</v>
      </c>
      <c r="B501">
        <v>7744</v>
      </c>
      <c r="C501">
        <v>29</v>
      </c>
      <c r="D501" t="s">
        <v>8</v>
      </c>
      <c r="E501" t="b">
        <v>1</v>
      </c>
      <c r="F501" t="s">
        <v>313</v>
      </c>
      <c r="G501">
        <v>15</v>
      </c>
      <c r="H501">
        <v>114758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01"/>
  <sheetViews>
    <sheetView tabSelected="1" workbookViewId="0">
      <selection activeCell="M13" sqref="M13"/>
    </sheetView>
  </sheetViews>
  <sheetFormatPr defaultRowHeight="15" x14ac:dyDescent="0.25"/>
  <cols>
    <col min="1" max="1" width="7.42578125" style="13" customWidth="1"/>
    <col min="2" max="2" width="13.85546875" customWidth="1"/>
    <col min="3" max="3" width="5.85546875" style="13" customWidth="1"/>
    <col min="4" max="4" width="13.140625" customWidth="1"/>
    <col min="5" max="5" width="12.5703125" customWidth="1"/>
    <col min="6" max="6" width="11.140625" style="4" customWidth="1"/>
    <col min="7" max="7" width="9" style="13" bestFit="1" customWidth="1"/>
    <col min="8" max="8" width="11.28515625" style="2" bestFit="1" customWidth="1"/>
    <col min="9" max="9" width="9.5703125" bestFit="1" customWidth="1"/>
    <col min="10" max="10" width="13.42578125" bestFit="1" customWidth="1"/>
  </cols>
  <sheetData>
    <row r="1" spans="1:12" x14ac:dyDescent="0.25">
      <c r="A1" s="11" t="s">
        <v>0</v>
      </c>
      <c r="B1" s="5" t="s">
        <v>1</v>
      </c>
      <c r="C1" s="11" t="s">
        <v>2</v>
      </c>
      <c r="D1" s="5" t="s">
        <v>3</v>
      </c>
      <c r="E1" s="5" t="s">
        <v>4</v>
      </c>
      <c r="F1" s="9" t="s">
        <v>5</v>
      </c>
      <c r="G1" s="11" t="s">
        <v>6</v>
      </c>
      <c r="H1" s="7" t="s">
        <v>7</v>
      </c>
      <c r="I1" s="5" t="s">
        <v>314</v>
      </c>
      <c r="J1" s="5" t="s">
        <v>315</v>
      </c>
    </row>
    <row r="2" spans="1:12" x14ac:dyDescent="0.25">
      <c r="A2" s="12">
        <v>1</v>
      </c>
      <c r="B2" s="6">
        <v>8794</v>
      </c>
      <c r="C2" s="12">
        <v>60</v>
      </c>
      <c r="D2" s="6" t="s">
        <v>8</v>
      </c>
      <c r="E2" s="6" t="s">
        <v>316</v>
      </c>
      <c r="F2" s="10">
        <v>34417</v>
      </c>
      <c r="G2" s="12">
        <v>30</v>
      </c>
      <c r="H2" s="8">
        <v>238668</v>
      </c>
      <c r="I2" s="6" t="str" cm="1">
        <f t="array" ref="I2">_xlfn.IFS(C2&gt;50,"50+",C2&gt;=30,"30-50",C2&lt;30,"Under 30")</f>
        <v>50+</v>
      </c>
      <c r="J2" s="6" t="str" cm="1">
        <f t="array" ref="J2">_xlfn.IFS(H2&gt;200000,"2 Lakhs +",H2&gt;=100000,"1-2 Lakhs",H2&lt;100000,"Below 1 Lakhs")</f>
        <v>2 Lakhs +</v>
      </c>
    </row>
    <row r="3" spans="1:12" x14ac:dyDescent="0.25">
      <c r="A3" s="12">
        <v>2</v>
      </c>
      <c r="B3" s="6">
        <v>8222</v>
      </c>
      <c r="C3" s="12">
        <v>28</v>
      </c>
      <c r="D3" s="6" t="s">
        <v>10</v>
      </c>
      <c r="E3" s="6" t="s">
        <v>317</v>
      </c>
      <c r="F3" s="10">
        <v>29197</v>
      </c>
      <c r="G3" s="12">
        <v>13</v>
      </c>
      <c r="H3" s="8">
        <v>105995</v>
      </c>
      <c r="I3" s="6" t="str" cm="1">
        <f t="array" ref="I3">_xlfn.IFS(C3&gt;50,"50+",C3&gt;=30,"30-50",C3&lt;30,"Under 30")</f>
        <v>Under 30</v>
      </c>
      <c r="J3" s="6" t="str" cm="1">
        <f t="array" ref="J3">_xlfn.IFS(H3&gt;200000,"2 Lakhs +",H3&gt;=100000,"1-2 Lakhs",H3&lt;100000,"Below 1 Lakhs")</f>
        <v>1-2 Lakhs</v>
      </c>
      <c r="L3" s="3"/>
    </row>
    <row r="4" spans="1:12" x14ac:dyDescent="0.25">
      <c r="A4" s="12">
        <v>3</v>
      </c>
      <c r="B4" s="6">
        <v>7643</v>
      </c>
      <c r="C4" s="12">
        <v>30</v>
      </c>
      <c r="D4" s="6" t="s">
        <v>11</v>
      </c>
      <c r="E4" s="6" t="s">
        <v>316</v>
      </c>
      <c r="F4" s="10">
        <v>36063</v>
      </c>
      <c r="G4" s="12">
        <v>11</v>
      </c>
      <c r="H4" s="8">
        <v>96120</v>
      </c>
      <c r="I4" s="6" t="str" cm="1">
        <f t="array" ref="I4">_xlfn.IFS(C4&gt;50,"50+",C4&gt;=30,"30-50",C4&lt;30,"Under 30")</f>
        <v>30-50</v>
      </c>
      <c r="J4" s="6" t="str" cm="1">
        <f t="array" ref="J4">_xlfn.IFS(H4&gt;200000,"2 Lakhs +",H4&gt;=100000,"1-2 Lakhs",H4&lt;100000,"Below 1 Lakhs")</f>
        <v>Below 1 Lakhs</v>
      </c>
      <c r="L4" s="3"/>
    </row>
    <row r="5" spans="1:12" x14ac:dyDescent="0.25">
      <c r="A5" s="12">
        <v>4</v>
      </c>
      <c r="B5" s="6">
        <v>2737</v>
      </c>
      <c r="C5" s="12">
        <v>38</v>
      </c>
      <c r="D5" s="6" t="s">
        <v>13</v>
      </c>
      <c r="E5" s="6" t="s">
        <v>317</v>
      </c>
      <c r="F5" s="10">
        <v>40870</v>
      </c>
      <c r="G5" s="12">
        <v>20</v>
      </c>
      <c r="H5" s="8">
        <v>153525</v>
      </c>
      <c r="I5" s="6" t="str" cm="1">
        <f t="array" ref="I5">_xlfn.IFS(C5&gt;50,"50+",C5&gt;=30,"30-50",C5&lt;30,"Under 30")</f>
        <v>30-50</v>
      </c>
      <c r="J5" s="6" t="str" cm="1">
        <f t="array" ref="J5">_xlfn.IFS(H5&gt;200000,"2 Lakhs +",H5&gt;=100000,"1-2 Lakhs",H5&lt;100000,"Below 1 Lakhs")</f>
        <v>1-2 Lakhs</v>
      </c>
    </row>
    <row r="6" spans="1:12" x14ac:dyDescent="0.25">
      <c r="A6" s="12">
        <v>5</v>
      </c>
      <c r="B6" s="6">
        <v>8557</v>
      </c>
      <c r="C6" s="12">
        <v>61</v>
      </c>
      <c r="D6" s="6" t="s">
        <v>13</v>
      </c>
      <c r="E6" s="6" t="s">
        <v>317</v>
      </c>
      <c r="F6" s="10">
        <v>28041</v>
      </c>
      <c r="G6" s="12">
        <v>31</v>
      </c>
      <c r="H6" s="8">
        <v>249192</v>
      </c>
      <c r="I6" s="6" t="str" cm="1">
        <f t="array" ref="I6">_xlfn.IFS(C6&gt;50,"50+",C6&gt;=30,"30-50",C6&lt;30,"Under 30")</f>
        <v>50+</v>
      </c>
      <c r="J6" s="6" t="str" cm="1">
        <f t="array" ref="J6">_xlfn.IFS(H6&gt;200000,"2 Lakhs +",H6&gt;=100000,"1-2 Lakhs",H6&lt;100000,"Below 1 Lakhs")</f>
        <v>2 Lakhs +</v>
      </c>
    </row>
    <row r="7" spans="1:12" x14ac:dyDescent="0.25">
      <c r="A7" s="12">
        <v>6</v>
      </c>
      <c r="B7" s="6">
        <v>8484</v>
      </c>
      <c r="C7" s="12">
        <v>31</v>
      </c>
      <c r="D7" s="6" t="s">
        <v>11</v>
      </c>
      <c r="E7" s="6" t="s">
        <v>316</v>
      </c>
      <c r="F7" s="10">
        <v>30109</v>
      </c>
      <c r="G7" s="12">
        <v>14</v>
      </c>
      <c r="H7" s="8">
        <v>112443</v>
      </c>
      <c r="I7" s="6" t="str" cm="1">
        <f t="array" ref="I7">_xlfn.IFS(C7&gt;50,"50+",C7&gt;=30,"30-50",C7&lt;30,"Under 30")</f>
        <v>30-50</v>
      </c>
      <c r="J7" s="6" t="str" cm="1">
        <f t="array" ref="J7">_xlfn.IFS(H7&gt;200000,"2 Lakhs +",H7&gt;=100000,"1-2 Lakhs",H7&lt;100000,"Below 1 Lakhs")</f>
        <v>1-2 Lakhs</v>
      </c>
    </row>
    <row r="8" spans="1:12" x14ac:dyDescent="0.25">
      <c r="A8" s="12">
        <v>7</v>
      </c>
      <c r="B8" s="6">
        <v>5854</v>
      </c>
      <c r="C8" s="12">
        <v>64</v>
      </c>
      <c r="D8" s="6" t="s">
        <v>8</v>
      </c>
      <c r="E8" s="6" t="s">
        <v>316</v>
      </c>
      <c r="F8" s="10">
        <v>29902</v>
      </c>
      <c r="G8" s="12">
        <v>33</v>
      </c>
      <c r="H8" s="8">
        <v>269150</v>
      </c>
      <c r="I8" s="6" t="str" cm="1">
        <f t="array" ref="I8">_xlfn.IFS(C8&gt;50,"50+",C8&gt;=30,"30-50",C8&lt;30,"Under 30")</f>
        <v>50+</v>
      </c>
      <c r="J8" s="6" t="str" cm="1">
        <f t="array" ref="J8">_xlfn.IFS(H8&gt;200000,"2 Lakhs +",H8&gt;=100000,"1-2 Lakhs",H8&lt;100000,"Below 1 Lakhs")</f>
        <v>2 Lakhs +</v>
      </c>
    </row>
    <row r="9" spans="1:12" x14ac:dyDescent="0.25">
      <c r="A9" s="12">
        <v>8</v>
      </c>
      <c r="B9" s="6">
        <v>6012</v>
      </c>
      <c r="C9" s="12">
        <v>33</v>
      </c>
      <c r="D9" s="6" t="s">
        <v>8</v>
      </c>
      <c r="E9" s="6" t="s">
        <v>316</v>
      </c>
      <c r="F9" s="10">
        <v>30587</v>
      </c>
      <c r="G9" s="12">
        <v>13</v>
      </c>
      <c r="H9" s="8">
        <v>99541</v>
      </c>
      <c r="I9" s="6" t="str" cm="1">
        <f t="array" ref="I9">_xlfn.IFS(C9&gt;50,"50+",C9&gt;=30,"30-50",C9&lt;30,"Under 30")</f>
        <v>30-50</v>
      </c>
      <c r="J9" s="6" t="str" cm="1">
        <f t="array" ref="J9">_xlfn.IFS(H9&gt;200000,"2 Lakhs +",H9&gt;=100000,"1-2 Lakhs",H9&lt;100000,"Below 1 Lakhs")</f>
        <v>Below 1 Lakhs</v>
      </c>
    </row>
    <row r="10" spans="1:12" x14ac:dyDescent="0.25">
      <c r="A10" s="12">
        <v>9</v>
      </c>
      <c r="B10" s="6">
        <v>7462</v>
      </c>
      <c r="C10" s="12">
        <v>34</v>
      </c>
      <c r="D10" s="6" t="s">
        <v>8</v>
      </c>
      <c r="E10" s="6" t="s">
        <v>316</v>
      </c>
      <c r="F10" s="10">
        <v>44218</v>
      </c>
      <c r="G10" s="12">
        <v>15</v>
      </c>
      <c r="H10" s="8">
        <v>119128</v>
      </c>
      <c r="I10" s="6" t="str" cm="1">
        <f t="array" ref="I10">_xlfn.IFS(C10&gt;50,"50+",C10&gt;=30,"30-50",C10&lt;30,"Under 30")</f>
        <v>30-50</v>
      </c>
      <c r="J10" s="6" t="str" cm="1">
        <f t="array" ref="J10">_xlfn.IFS(H10&gt;200000,"2 Lakhs +",H10&gt;=100000,"1-2 Lakhs",H10&lt;100000,"Below 1 Lakhs")</f>
        <v>1-2 Lakhs</v>
      </c>
    </row>
    <row r="11" spans="1:12" x14ac:dyDescent="0.25">
      <c r="A11" s="12">
        <v>10</v>
      </c>
      <c r="B11" s="6">
        <v>7276</v>
      </c>
      <c r="C11" s="12">
        <v>23</v>
      </c>
      <c r="D11" s="6" t="s">
        <v>8</v>
      </c>
      <c r="E11" s="6" t="s">
        <v>316</v>
      </c>
      <c r="F11" s="10">
        <v>41915</v>
      </c>
      <c r="G11" s="12">
        <v>11</v>
      </c>
      <c r="H11" s="8">
        <v>83249</v>
      </c>
      <c r="I11" s="6" t="str" cm="1">
        <f t="array" ref="I11">_xlfn.IFS(C11&gt;50,"50+",C11&gt;=30,"30-50",C11&lt;30,"Under 30")</f>
        <v>Under 30</v>
      </c>
      <c r="J11" s="6" t="str" cm="1">
        <f t="array" ref="J11">_xlfn.IFS(H11&gt;200000,"2 Lakhs +",H11&gt;=100000,"1-2 Lakhs",H11&lt;100000,"Below 1 Lakhs")</f>
        <v>Below 1 Lakhs</v>
      </c>
    </row>
    <row r="12" spans="1:12" x14ac:dyDescent="0.25">
      <c r="A12" s="12">
        <v>11</v>
      </c>
      <c r="B12" s="6">
        <v>6621</v>
      </c>
      <c r="C12" s="12">
        <v>51</v>
      </c>
      <c r="D12" s="6" t="s">
        <v>17</v>
      </c>
      <c r="E12" s="6" t="s">
        <v>317</v>
      </c>
      <c r="F12" s="10">
        <v>27100</v>
      </c>
      <c r="G12" s="12">
        <v>26</v>
      </c>
      <c r="H12" s="8">
        <v>201259</v>
      </c>
      <c r="I12" s="6" t="str" cm="1">
        <f t="array" ref="I12">_xlfn.IFS(C12&gt;50,"50+",C12&gt;=30,"30-50",C12&lt;30,"Under 30")</f>
        <v>50+</v>
      </c>
      <c r="J12" s="6" t="str" cm="1">
        <f t="array" ref="J12">_xlfn.IFS(H12&gt;200000,"2 Lakhs +",H12&gt;=100000,"1-2 Lakhs",H12&lt;100000,"Below 1 Lakhs")</f>
        <v>2 Lakhs +</v>
      </c>
    </row>
    <row r="13" spans="1:12" x14ac:dyDescent="0.25">
      <c r="A13" s="12">
        <v>12</v>
      </c>
      <c r="B13" s="6">
        <v>7461</v>
      </c>
      <c r="C13" s="12">
        <v>43</v>
      </c>
      <c r="D13" s="6" t="s">
        <v>17</v>
      </c>
      <c r="E13" s="6" t="s">
        <v>317</v>
      </c>
      <c r="F13" s="10">
        <v>33397</v>
      </c>
      <c r="G13" s="12">
        <v>17</v>
      </c>
      <c r="H13" s="8">
        <v>144477</v>
      </c>
      <c r="I13" s="6" t="str" cm="1">
        <f t="array" ref="I13">_xlfn.IFS(C13&gt;50,"50+",C13&gt;=30,"30-50",C13&lt;30,"Under 30")</f>
        <v>30-50</v>
      </c>
      <c r="J13" s="6" t="str" cm="1">
        <f t="array" ref="J13">_xlfn.IFS(H13&gt;200000,"2 Lakhs +",H13&gt;=100000,"1-2 Lakhs",H13&lt;100000,"Below 1 Lakhs")</f>
        <v>1-2 Lakhs</v>
      </c>
    </row>
    <row r="14" spans="1:12" x14ac:dyDescent="0.25">
      <c r="A14" s="12">
        <v>13</v>
      </c>
      <c r="B14" s="6">
        <v>4181</v>
      </c>
      <c r="C14" s="12">
        <v>33</v>
      </c>
      <c r="D14" s="6" t="s">
        <v>8</v>
      </c>
      <c r="E14" s="6" t="s">
        <v>317</v>
      </c>
      <c r="F14" s="10">
        <v>42116</v>
      </c>
      <c r="G14" s="12">
        <v>18</v>
      </c>
      <c r="H14" s="8">
        <v>148126</v>
      </c>
      <c r="I14" s="6" t="str" cm="1">
        <f t="array" ref="I14">_xlfn.IFS(C14&gt;50,"50+",C14&gt;=30,"30-50",C14&lt;30,"Under 30")</f>
        <v>30-50</v>
      </c>
      <c r="J14" s="6" t="str" cm="1">
        <f t="array" ref="J14">_xlfn.IFS(H14&gt;200000,"2 Lakhs +",H14&gt;=100000,"1-2 Lakhs",H14&lt;100000,"Below 1 Lakhs")</f>
        <v>1-2 Lakhs</v>
      </c>
    </row>
    <row r="15" spans="1:12" x14ac:dyDescent="0.25">
      <c r="A15" s="12">
        <v>14</v>
      </c>
      <c r="B15" s="6">
        <v>9770</v>
      </c>
      <c r="C15" s="12">
        <v>64</v>
      </c>
      <c r="D15" s="6" t="s">
        <v>11</v>
      </c>
      <c r="E15" s="6" t="s">
        <v>316</v>
      </c>
      <c r="F15" s="10">
        <v>30901</v>
      </c>
      <c r="G15" s="12">
        <v>29</v>
      </c>
      <c r="H15" s="8">
        <v>237357</v>
      </c>
      <c r="I15" s="6" t="str" cm="1">
        <f t="array" ref="I15">_xlfn.IFS(C15&gt;50,"50+",C15&gt;=30,"30-50",C15&lt;30,"Under 30")</f>
        <v>50+</v>
      </c>
      <c r="J15" s="6" t="str" cm="1">
        <f t="array" ref="J15">_xlfn.IFS(H15&gt;200000,"2 Lakhs +",H15&gt;=100000,"1-2 Lakhs",H15&lt;100000,"Below 1 Lakhs")</f>
        <v>2 Lakhs +</v>
      </c>
    </row>
    <row r="16" spans="1:12" x14ac:dyDescent="0.25">
      <c r="A16" s="12">
        <v>15</v>
      </c>
      <c r="B16" s="6">
        <v>9138</v>
      </c>
      <c r="C16" s="12">
        <v>41</v>
      </c>
      <c r="D16" s="6" t="s">
        <v>8</v>
      </c>
      <c r="E16" s="6" t="s">
        <v>317</v>
      </c>
      <c r="F16" s="10">
        <v>38308</v>
      </c>
      <c r="G16" s="12">
        <v>19</v>
      </c>
      <c r="H16" s="8">
        <v>158446</v>
      </c>
      <c r="I16" s="6" t="str" cm="1">
        <f t="array" ref="I16">_xlfn.IFS(C16&gt;50,"50+",C16&gt;=30,"30-50",C16&lt;30,"Under 30")</f>
        <v>30-50</v>
      </c>
      <c r="J16" s="6" t="str" cm="1">
        <f t="array" ref="J16">_xlfn.IFS(H16&gt;200000,"2 Lakhs +",H16&gt;=100000,"1-2 Lakhs",H16&lt;100000,"Below 1 Lakhs")</f>
        <v>1-2 Lakhs</v>
      </c>
    </row>
    <row r="17" spans="1:10" x14ac:dyDescent="0.25">
      <c r="A17" s="12">
        <v>16</v>
      </c>
      <c r="B17" s="6">
        <v>7182</v>
      </c>
      <c r="C17" s="12">
        <v>30</v>
      </c>
      <c r="D17" s="6" t="s">
        <v>11</v>
      </c>
      <c r="E17" s="6" t="s">
        <v>317</v>
      </c>
      <c r="F17" s="10">
        <v>30259</v>
      </c>
      <c r="G17" s="12">
        <v>15</v>
      </c>
      <c r="H17" s="8">
        <v>124601</v>
      </c>
      <c r="I17" s="6" t="str" cm="1">
        <f t="array" ref="I17">_xlfn.IFS(C17&gt;50,"50+",C17&gt;=30,"30-50",C17&lt;30,"Under 30")</f>
        <v>30-50</v>
      </c>
      <c r="J17" s="6" t="str" cm="1">
        <f t="array" ref="J17">_xlfn.IFS(H17&gt;200000,"2 Lakhs +",H17&gt;=100000,"1-2 Lakhs",H17&lt;100000,"Below 1 Lakhs")</f>
        <v>1-2 Lakhs</v>
      </c>
    </row>
    <row r="18" spans="1:10" x14ac:dyDescent="0.25">
      <c r="A18" s="12">
        <v>17</v>
      </c>
      <c r="B18" s="6">
        <v>9901</v>
      </c>
      <c r="C18" s="12">
        <v>60</v>
      </c>
      <c r="D18" s="6" t="s">
        <v>17</v>
      </c>
      <c r="E18" s="6" t="s">
        <v>317</v>
      </c>
      <c r="F18" s="10">
        <v>36972</v>
      </c>
      <c r="G18" s="12">
        <v>27</v>
      </c>
      <c r="H18" s="8">
        <v>209673</v>
      </c>
      <c r="I18" s="6" t="str" cm="1">
        <f t="array" ref="I18">_xlfn.IFS(C18&gt;50,"50+",C18&gt;=30,"30-50",C18&lt;30,"Under 30")</f>
        <v>50+</v>
      </c>
      <c r="J18" s="6" t="str" cm="1">
        <f t="array" ref="J18">_xlfn.IFS(H18&gt;200000,"2 Lakhs +",H18&gt;=100000,"1-2 Lakhs",H18&lt;100000,"Below 1 Lakhs")</f>
        <v>2 Lakhs +</v>
      </c>
    </row>
    <row r="19" spans="1:10" x14ac:dyDescent="0.25">
      <c r="A19" s="12">
        <v>18</v>
      </c>
      <c r="B19" s="6">
        <v>9684</v>
      </c>
      <c r="C19" s="12">
        <v>25</v>
      </c>
      <c r="D19" s="6" t="s">
        <v>8</v>
      </c>
      <c r="E19" s="6" t="s">
        <v>316</v>
      </c>
      <c r="F19" s="10">
        <v>45253</v>
      </c>
      <c r="G19" s="12">
        <v>11</v>
      </c>
      <c r="H19" s="8">
        <v>88325</v>
      </c>
      <c r="I19" s="6" t="str" cm="1">
        <f t="array" ref="I19">_xlfn.IFS(C19&gt;50,"50+",C19&gt;=30,"30-50",C19&lt;30,"Under 30")</f>
        <v>Under 30</v>
      </c>
      <c r="J19" s="6" t="str" cm="1">
        <f t="array" ref="J19">_xlfn.IFS(H19&gt;200000,"2 Lakhs +",H19&gt;=100000,"1-2 Lakhs",H19&lt;100000,"Below 1 Lakhs")</f>
        <v>Below 1 Lakhs</v>
      </c>
    </row>
    <row r="20" spans="1:10" x14ac:dyDescent="0.25">
      <c r="A20" s="12">
        <v>19</v>
      </c>
      <c r="B20" s="6">
        <v>6645</v>
      </c>
      <c r="C20" s="12">
        <v>30</v>
      </c>
      <c r="D20" s="6" t="s">
        <v>11</v>
      </c>
      <c r="E20" s="6" t="s">
        <v>316</v>
      </c>
      <c r="F20" s="10">
        <v>37378</v>
      </c>
      <c r="G20" s="12">
        <v>14</v>
      </c>
      <c r="H20" s="8">
        <v>117761</v>
      </c>
      <c r="I20" s="6" t="str" cm="1">
        <f t="array" ref="I20">_xlfn.IFS(C20&gt;50,"50+",C20&gt;=30,"30-50",C20&lt;30,"Under 30")</f>
        <v>30-50</v>
      </c>
      <c r="J20" s="6" t="str" cm="1">
        <f t="array" ref="J20">_xlfn.IFS(H20&gt;200000,"2 Lakhs +",H20&gt;=100000,"1-2 Lakhs",H20&lt;100000,"Below 1 Lakhs")</f>
        <v>1-2 Lakhs</v>
      </c>
    </row>
    <row r="21" spans="1:10" x14ac:dyDescent="0.25">
      <c r="A21" s="12">
        <v>20</v>
      </c>
      <c r="B21" s="6">
        <v>4049</v>
      </c>
      <c r="C21" s="12">
        <v>45</v>
      </c>
      <c r="D21" s="6" t="s">
        <v>17</v>
      </c>
      <c r="E21" s="6" t="s">
        <v>317</v>
      </c>
      <c r="F21" s="10">
        <v>33886</v>
      </c>
      <c r="G21" s="12">
        <v>24</v>
      </c>
      <c r="H21" s="8">
        <v>193695</v>
      </c>
      <c r="I21" s="6" t="str" cm="1">
        <f t="array" ref="I21">_xlfn.IFS(C21&gt;50,"50+",C21&gt;=30,"30-50",C21&lt;30,"Under 30")</f>
        <v>30-50</v>
      </c>
      <c r="J21" s="6" t="str" cm="1">
        <f t="array" ref="J21">_xlfn.IFS(H21&gt;200000,"2 Lakhs +",H21&gt;=100000,"1-2 Lakhs",H21&lt;100000,"Below 1 Lakhs")</f>
        <v>1-2 Lakhs</v>
      </c>
    </row>
    <row r="22" spans="1:10" x14ac:dyDescent="0.25">
      <c r="A22" s="12">
        <v>21</v>
      </c>
      <c r="B22" s="6">
        <v>7857</v>
      </c>
      <c r="C22" s="12">
        <v>56</v>
      </c>
      <c r="D22" s="6" t="s">
        <v>8</v>
      </c>
      <c r="E22" s="6" t="s">
        <v>317</v>
      </c>
      <c r="F22" s="10">
        <v>26797</v>
      </c>
      <c r="G22" s="12">
        <v>27</v>
      </c>
      <c r="H22" s="8">
        <v>223718</v>
      </c>
      <c r="I22" s="6" t="str" cm="1">
        <f t="array" ref="I22">_xlfn.IFS(C22&gt;50,"50+",C22&gt;=30,"30-50",C22&lt;30,"Under 30")</f>
        <v>50+</v>
      </c>
      <c r="J22" s="6" t="str" cm="1">
        <f t="array" ref="J22">_xlfn.IFS(H22&gt;200000,"2 Lakhs +",H22&gt;=100000,"1-2 Lakhs",H22&lt;100000,"Below 1 Lakhs")</f>
        <v>2 Lakhs +</v>
      </c>
    </row>
    <row r="23" spans="1:10" x14ac:dyDescent="0.25">
      <c r="A23" s="12">
        <v>22</v>
      </c>
      <c r="B23" s="6">
        <v>3757</v>
      </c>
      <c r="C23" s="12">
        <v>32</v>
      </c>
      <c r="D23" s="6" t="s">
        <v>8</v>
      </c>
      <c r="E23" s="6" t="s">
        <v>317</v>
      </c>
      <c r="F23" s="10">
        <v>40117</v>
      </c>
      <c r="G23" s="12">
        <v>16</v>
      </c>
      <c r="H23" s="8">
        <v>136877</v>
      </c>
      <c r="I23" s="6" t="str" cm="1">
        <f t="array" ref="I23">_xlfn.IFS(C23&gt;50,"50+",C23&gt;=30,"30-50",C23&lt;30,"Under 30")</f>
        <v>30-50</v>
      </c>
      <c r="J23" s="6" t="str" cm="1">
        <f t="array" ref="J23">_xlfn.IFS(H23&gt;200000,"2 Lakhs +",H23&gt;=100000,"1-2 Lakhs",H23&lt;100000,"Below 1 Lakhs")</f>
        <v>1-2 Lakhs</v>
      </c>
    </row>
    <row r="24" spans="1:10" x14ac:dyDescent="0.25">
      <c r="A24" s="12">
        <v>23</v>
      </c>
      <c r="B24" s="6">
        <v>9062</v>
      </c>
      <c r="C24" s="12">
        <v>49</v>
      </c>
      <c r="D24" s="6" t="s">
        <v>10</v>
      </c>
      <c r="E24" s="6" t="s">
        <v>317</v>
      </c>
      <c r="F24" s="10">
        <v>41484</v>
      </c>
      <c r="G24" s="12">
        <v>24</v>
      </c>
      <c r="H24" s="8">
        <v>201355</v>
      </c>
      <c r="I24" s="6" t="str" cm="1">
        <f t="array" ref="I24">_xlfn.IFS(C24&gt;50,"50+",C24&gt;=30,"30-50",C24&lt;30,"Under 30")</f>
        <v>30-50</v>
      </c>
      <c r="J24" s="6" t="str" cm="1">
        <f t="array" ref="J24">_xlfn.IFS(H24&gt;200000,"2 Lakhs +",H24&gt;=100000,"1-2 Lakhs",H24&lt;100000,"Below 1 Lakhs")</f>
        <v>2 Lakhs +</v>
      </c>
    </row>
    <row r="25" spans="1:10" x14ac:dyDescent="0.25">
      <c r="A25" s="12">
        <v>24</v>
      </c>
      <c r="B25" s="6">
        <v>4459</v>
      </c>
      <c r="C25" s="12">
        <v>52</v>
      </c>
      <c r="D25" s="6" t="s">
        <v>13</v>
      </c>
      <c r="E25" s="6" t="s">
        <v>316</v>
      </c>
      <c r="F25" s="10">
        <v>41802</v>
      </c>
      <c r="G25" s="12">
        <v>25</v>
      </c>
      <c r="H25" s="8">
        <v>197155</v>
      </c>
      <c r="I25" s="6" t="str" cm="1">
        <f t="array" ref="I25">_xlfn.IFS(C25&gt;50,"50+",C25&gt;=30,"30-50",C25&lt;30,"Under 30")</f>
        <v>50+</v>
      </c>
      <c r="J25" s="6" t="str" cm="1">
        <f t="array" ref="J25">_xlfn.IFS(H25&gt;200000,"2 Lakhs +",H25&gt;=100000,"1-2 Lakhs",H25&lt;100000,"Below 1 Lakhs")</f>
        <v>1-2 Lakhs</v>
      </c>
    </row>
    <row r="26" spans="1:10" x14ac:dyDescent="0.25">
      <c r="A26" s="12">
        <v>25</v>
      </c>
      <c r="B26" s="6">
        <v>2444</v>
      </c>
      <c r="C26" s="12">
        <v>43</v>
      </c>
      <c r="D26" s="6" t="s">
        <v>17</v>
      </c>
      <c r="E26" s="6" t="s">
        <v>317</v>
      </c>
      <c r="F26" s="10">
        <v>31091</v>
      </c>
      <c r="G26" s="12">
        <v>22</v>
      </c>
      <c r="H26" s="8">
        <v>181254</v>
      </c>
      <c r="I26" s="6" t="str" cm="1">
        <f t="array" ref="I26">_xlfn.IFS(C26&gt;50,"50+",C26&gt;=30,"30-50",C26&lt;30,"Under 30")</f>
        <v>30-50</v>
      </c>
      <c r="J26" s="6" t="str" cm="1">
        <f t="array" ref="J26">_xlfn.IFS(H26&gt;200000,"2 Lakhs +",H26&gt;=100000,"1-2 Lakhs",H26&lt;100000,"Below 1 Lakhs")</f>
        <v>1-2 Lakhs</v>
      </c>
    </row>
    <row r="27" spans="1:10" x14ac:dyDescent="0.25">
      <c r="A27" s="12">
        <v>26</v>
      </c>
      <c r="B27" s="6">
        <v>3005</v>
      </c>
      <c r="C27" s="12">
        <v>56</v>
      </c>
      <c r="D27" s="6" t="s">
        <v>10</v>
      </c>
      <c r="E27" s="6" t="s">
        <v>317</v>
      </c>
      <c r="F27" s="10">
        <v>39885</v>
      </c>
      <c r="G27" s="12">
        <v>24</v>
      </c>
      <c r="H27" s="8">
        <v>197009</v>
      </c>
      <c r="I27" s="6" t="str" cm="1">
        <f t="array" ref="I27">_xlfn.IFS(C27&gt;50,"50+",C27&gt;=30,"30-50",C27&lt;30,"Under 30")</f>
        <v>50+</v>
      </c>
      <c r="J27" s="6" t="str" cm="1">
        <f t="array" ref="J27">_xlfn.IFS(H27&gt;200000,"2 Lakhs +",H27&gt;=100000,"1-2 Lakhs",H27&lt;100000,"Below 1 Lakhs")</f>
        <v>1-2 Lakhs</v>
      </c>
    </row>
    <row r="28" spans="1:10" x14ac:dyDescent="0.25">
      <c r="A28" s="12">
        <v>27</v>
      </c>
      <c r="B28" s="6">
        <v>6797</v>
      </c>
      <c r="C28" s="12">
        <v>47</v>
      </c>
      <c r="D28" s="6" t="s">
        <v>17</v>
      </c>
      <c r="E28" s="6" t="s">
        <v>317</v>
      </c>
      <c r="F28" s="10">
        <v>35144</v>
      </c>
      <c r="G28" s="12">
        <v>26</v>
      </c>
      <c r="H28" s="8">
        <v>201648</v>
      </c>
      <c r="I28" s="6" t="str" cm="1">
        <f t="array" ref="I28">_xlfn.IFS(C28&gt;50,"50+",C28&gt;=30,"30-50",C28&lt;30,"Under 30")</f>
        <v>30-50</v>
      </c>
      <c r="J28" s="6" t="str" cm="1">
        <f t="array" ref="J28">_xlfn.IFS(H28&gt;200000,"2 Lakhs +",H28&gt;=100000,"1-2 Lakhs",H28&lt;100000,"Below 1 Lakhs")</f>
        <v>2 Lakhs +</v>
      </c>
    </row>
    <row r="29" spans="1:10" x14ac:dyDescent="0.25">
      <c r="A29" s="12">
        <v>28</v>
      </c>
      <c r="B29" s="6">
        <v>5040</v>
      </c>
      <c r="C29" s="12">
        <v>37</v>
      </c>
      <c r="D29" s="6" t="s">
        <v>13</v>
      </c>
      <c r="E29" s="6" t="s">
        <v>317</v>
      </c>
      <c r="F29" s="10">
        <v>26342</v>
      </c>
      <c r="G29" s="12">
        <v>22</v>
      </c>
      <c r="H29" s="8">
        <v>186028</v>
      </c>
      <c r="I29" s="6" t="str" cm="1">
        <f t="array" ref="I29">_xlfn.IFS(C29&gt;50,"50+",C29&gt;=30,"30-50",C29&lt;30,"Under 30")</f>
        <v>30-50</v>
      </c>
      <c r="J29" s="6" t="str" cm="1">
        <f t="array" ref="J29">_xlfn.IFS(H29&gt;200000,"2 Lakhs +",H29&gt;=100000,"1-2 Lakhs",H29&lt;100000,"Below 1 Lakhs")</f>
        <v>1-2 Lakhs</v>
      </c>
    </row>
    <row r="30" spans="1:10" x14ac:dyDescent="0.25">
      <c r="A30" s="12">
        <v>29</v>
      </c>
      <c r="B30" s="6">
        <v>9477</v>
      </c>
      <c r="C30" s="12">
        <v>54</v>
      </c>
      <c r="D30" s="6" t="s">
        <v>17</v>
      </c>
      <c r="E30" s="6" t="s">
        <v>317</v>
      </c>
      <c r="F30" s="10">
        <v>39517</v>
      </c>
      <c r="G30" s="12">
        <v>26</v>
      </c>
      <c r="H30" s="8">
        <v>201094</v>
      </c>
      <c r="I30" s="6" t="str" cm="1">
        <f t="array" ref="I30">_xlfn.IFS(C30&gt;50,"50+",C30&gt;=30,"30-50",C30&lt;30,"Under 30")</f>
        <v>50+</v>
      </c>
      <c r="J30" s="6" t="str" cm="1">
        <f t="array" ref="J30">_xlfn.IFS(H30&gt;200000,"2 Lakhs +",H30&gt;=100000,"1-2 Lakhs",H30&lt;100000,"Below 1 Lakhs")</f>
        <v>2 Lakhs +</v>
      </c>
    </row>
    <row r="31" spans="1:10" x14ac:dyDescent="0.25">
      <c r="A31" s="12">
        <v>30</v>
      </c>
      <c r="B31" s="6">
        <v>3555</v>
      </c>
      <c r="C31" s="12">
        <v>48</v>
      </c>
      <c r="D31" s="6" t="s">
        <v>10</v>
      </c>
      <c r="E31" s="6" t="s">
        <v>317</v>
      </c>
      <c r="F31" s="10">
        <v>29403</v>
      </c>
      <c r="G31" s="12">
        <v>25</v>
      </c>
      <c r="H31" s="8">
        <v>192419</v>
      </c>
      <c r="I31" s="6" t="str" cm="1">
        <f t="array" ref="I31">_xlfn.IFS(C31&gt;50,"50+",C31&gt;=30,"30-50",C31&lt;30,"Under 30")</f>
        <v>30-50</v>
      </c>
      <c r="J31" s="6" t="str" cm="1">
        <f t="array" ref="J31">_xlfn.IFS(H31&gt;200000,"2 Lakhs +",H31&gt;=100000,"1-2 Lakhs",H31&lt;100000,"Below 1 Lakhs")</f>
        <v>1-2 Lakhs</v>
      </c>
    </row>
    <row r="32" spans="1:10" x14ac:dyDescent="0.25">
      <c r="A32" s="12">
        <v>31</v>
      </c>
      <c r="B32" s="6">
        <v>3490</v>
      </c>
      <c r="C32" s="12">
        <v>28</v>
      </c>
      <c r="D32" s="6" t="s">
        <v>17</v>
      </c>
      <c r="E32" s="6" t="s">
        <v>317</v>
      </c>
      <c r="F32" s="10">
        <v>38232</v>
      </c>
      <c r="G32" s="12">
        <v>13</v>
      </c>
      <c r="H32" s="8">
        <v>103102</v>
      </c>
      <c r="I32" s="6" t="str" cm="1">
        <f t="array" ref="I32">_xlfn.IFS(C32&gt;50,"50+",C32&gt;=30,"30-50",C32&lt;30,"Under 30")</f>
        <v>Under 30</v>
      </c>
      <c r="J32" s="6" t="str" cm="1">
        <f t="array" ref="J32">_xlfn.IFS(H32&gt;200000,"2 Lakhs +",H32&gt;=100000,"1-2 Lakhs",H32&lt;100000,"Below 1 Lakhs")</f>
        <v>1-2 Lakhs</v>
      </c>
    </row>
    <row r="33" spans="1:10" x14ac:dyDescent="0.25">
      <c r="A33" s="12">
        <v>32</v>
      </c>
      <c r="B33" s="6">
        <v>3637</v>
      </c>
      <c r="C33" s="12">
        <v>62</v>
      </c>
      <c r="D33" s="6" t="s">
        <v>11</v>
      </c>
      <c r="E33" s="6" t="s">
        <v>317</v>
      </c>
      <c r="F33" s="10">
        <v>27772</v>
      </c>
      <c r="G33" s="12">
        <v>31</v>
      </c>
      <c r="H33" s="8">
        <v>248038</v>
      </c>
      <c r="I33" s="6" t="str" cm="1">
        <f t="array" ref="I33">_xlfn.IFS(C33&gt;50,"50+",C33&gt;=30,"30-50",C33&lt;30,"Under 30")</f>
        <v>50+</v>
      </c>
      <c r="J33" s="6" t="str" cm="1">
        <f t="array" ref="J33">_xlfn.IFS(H33&gt;200000,"2 Lakhs +",H33&gt;=100000,"1-2 Lakhs",H33&lt;100000,"Below 1 Lakhs")</f>
        <v>2 Lakhs +</v>
      </c>
    </row>
    <row r="34" spans="1:10" x14ac:dyDescent="0.25">
      <c r="A34" s="12">
        <v>33</v>
      </c>
      <c r="B34" s="6">
        <v>9629</v>
      </c>
      <c r="C34" s="12">
        <v>44</v>
      </c>
      <c r="D34" s="6" t="s">
        <v>11</v>
      </c>
      <c r="E34" s="6" t="s">
        <v>317</v>
      </c>
      <c r="F34" s="10">
        <v>34537</v>
      </c>
      <c r="G34" s="12">
        <v>22</v>
      </c>
      <c r="H34" s="8">
        <v>178656</v>
      </c>
      <c r="I34" s="6" t="str" cm="1">
        <f t="array" ref="I34">_xlfn.IFS(C34&gt;50,"50+",C34&gt;=30,"30-50",C34&lt;30,"Under 30")</f>
        <v>30-50</v>
      </c>
      <c r="J34" s="6" t="str" cm="1">
        <f t="array" ref="J34">_xlfn.IFS(H34&gt;200000,"2 Lakhs +",H34&gt;=100000,"1-2 Lakhs",H34&lt;100000,"Below 1 Lakhs")</f>
        <v>1-2 Lakhs</v>
      </c>
    </row>
    <row r="35" spans="1:10" x14ac:dyDescent="0.25">
      <c r="A35" s="12">
        <v>34</v>
      </c>
      <c r="B35" s="6">
        <v>6809</v>
      </c>
      <c r="C35" s="12">
        <v>40</v>
      </c>
      <c r="D35" s="6" t="s">
        <v>17</v>
      </c>
      <c r="E35" s="6" t="s">
        <v>317</v>
      </c>
      <c r="F35" s="10">
        <v>27981</v>
      </c>
      <c r="G35" s="12">
        <v>19</v>
      </c>
      <c r="H35" s="8">
        <v>149831</v>
      </c>
      <c r="I35" s="6" t="str" cm="1">
        <f t="array" ref="I35">_xlfn.IFS(C35&gt;50,"50+",C35&gt;=30,"30-50",C35&lt;30,"Under 30")</f>
        <v>30-50</v>
      </c>
      <c r="J35" s="6" t="str" cm="1">
        <f t="array" ref="J35">_xlfn.IFS(H35&gt;200000,"2 Lakhs +",H35&gt;=100000,"1-2 Lakhs",H35&lt;100000,"Below 1 Lakhs")</f>
        <v>1-2 Lakhs</v>
      </c>
    </row>
    <row r="36" spans="1:10" x14ac:dyDescent="0.25">
      <c r="A36" s="12">
        <v>35</v>
      </c>
      <c r="B36" s="6">
        <v>8660</v>
      </c>
      <c r="C36" s="12">
        <v>34</v>
      </c>
      <c r="D36" s="6" t="s">
        <v>13</v>
      </c>
      <c r="E36" s="6" t="s">
        <v>317</v>
      </c>
      <c r="F36" s="10">
        <v>43527</v>
      </c>
      <c r="G36" s="12">
        <v>17</v>
      </c>
      <c r="H36" s="8">
        <v>137180</v>
      </c>
      <c r="I36" s="6" t="str" cm="1">
        <f t="array" ref="I36">_xlfn.IFS(C36&gt;50,"50+",C36&gt;=30,"30-50",C36&lt;30,"Under 30")</f>
        <v>30-50</v>
      </c>
      <c r="J36" s="6" t="str" cm="1">
        <f t="array" ref="J36">_xlfn.IFS(H36&gt;200000,"2 Lakhs +",H36&gt;=100000,"1-2 Lakhs",H36&lt;100000,"Below 1 Lakhs")</f>
        <v>1-2 Lakhs</v>
      </c>
    </row>
    <row r="37" spans="1:10" x14ac:dyDescent="0.25">
      <c r="A37" s="12">
        <v>36</v>
      </c>
      <c r="B37" s="6">
        <v>3840</v>
      </c>
      <c r="C37" s="12">
        <v>45</v>
      </c>
      <c r="D37" s="6" t="s">
        <v>10</v>
      </c>
      <c r="E37" s="6" t="s">
        <v>317</v>
      </c>
      <c r="F37" s="10">
        <v>26618</v>
      </c>
      <c r="G37" s="12">
        <v>22</v>
      </c>
      <c r="H37" s="8">
        <v>173071</v>
      </c>
      <c r="I37" s="6" t="str" cm="1">
        <f t="array" ref="I37">_xlfn.IFS(C37&gt;50,"50+",C37&gt;=30,"30-50",C37&lt;30,"Under 30")</f>
        <v>30-50</v>
      </c>
      <c r="J37" s="6" t="str" cm="1">
        <f t="array" ref="J37">_xlfn.IFS(H37&gt;200000,"2 Lakhs +",H37&gt;=100000,"1-2 Lakhs",H37&lt;100000,"Below 1 Lakhs")</f>
        <v>1-2 Lakhs</v>
      </c>
    </row>
    <row r="38" spans="1:10" x14ac:dyDescent="0.25">
      <c r="A38" s="12">
        <v>37</v>
      </c>
      <c r="B38" s="6">
        <v>8354</v>
      </c>
      <c r="C38" s="12">
        <v>45</v>
      </c>
      <c r="D38" s="6" t="s">
        <v>8</v>
      </c>
      <c r="E38" s="6" t="s">
        <v>316</v>
      </c>
      <c r="F38" s="10">
        <v>26204</v>
      </c>
      <c r="G38" s="12">
        <v>22</v>
      </c>
      <c r="H38" s="8">
        <v>177939</v>
      </c>
      <c r="I38" s="6" t="str" cm="1">
        <f t="array" ref="I38">_xlfn.IFS(C38&gt;50,"50+",C38&gt;=30,"30-50",C38&lt;30,"Under 30")</f>
        <v>30-50</v>
      </c>
      <c r="J38" s="6" t="str" cm="1">
        <f t="array" ref="J38">_xlfn.IFS(H38&gt;200000,"2 Lakhs +",H38&gt;=100000,"1-2 Lakhs",H38&lt;100000,"Below 1 Lakhs")</f>
        <v>1-2 Lakhs</v>
      </c>
    </row>
    <row r="39" spans="1:10" x14ac:dyDescent="0.25">
      <c r="A39" s="12">
        <v>38</v>
      </c>
      <c r="B39" s="6">
        <v>9487</v>
      </c>
      <c r="C39" s="12">
        <v>37</v>
      </c>
      <c r="D39" s="6" t="s">
        <v>10</v>
      </c>
      <c r="E39" s="6" t="s">
        <v>316</v>
      </c>
      <c r="F39" s="10">
        <v>45510</v>
      </c>
      <c r="G39" s="12">
        <v>14</v>
      </c>
      <c r="H39" s="8">
        <v>115812</v>
      </c>
      <c r="I39" s="6" t="str" cm="1">
        <f t="array" ref="I39">_xlfn.IFS(C39&gt;50,"50+",C39&gt;=30,"30-50",C39&lt;30,"Under 30")</f>
        <v>30-50</v>
      </c>
      <c r="J39" s="6" t="str" cm="1">
        <f t="array" ref="J39">_xlfn.IFS(H39&gt;200000,"2 Lakhs +",H39&gt;=100000,"1-2 Lakhs",H39&lt;100000,"Below 1 Lakhs")</f>
        <v>1-2 Lakhs</v>
      </c>
    </row>
    <row r="40" spans="1:10" x14ac:dyDescent="0.25">
      <c r="A40" s="12">
        <v>39</v>
      </c>
      <c r="B40" s="6">
        <v>1501</v>
      </c>
      <c r="C40" s="12">
        <v>47</v>
      </c>
      <c r="D40" s="6" t="s">
        <v>11</v>
      </c>
      <c r="E40" s="6" t="s">
        <v>317</v>
      </c>
      <c r="F40" s="10">
        <v>32403</v>
      </c>
      <c r="G40" s="12">
        <v>21</v>
      </c>
      <c r="H40" s="8">
        <v>159633</v>
      </c>
      <c r="I40" s="6" t="str" cm="1">
        <f t="array" ref="I40">_xlfn.IFS(C40&gt;50,"50+",C40&gt;=30,"30-50",C40&lt;30,"Under 30")</f>
        <v>30-50</v>
      </c>
      <c r="J40" s="6" t="str" cm="1">
        <f t="array" ref="J40">_xlfn.IFS(H40&gt;200000,"2 Lakhs +",H40&gt;=100000,"1-2 Lakhs",H40&lt;100000,"Below 1 Lakhs")</f>
        <v>1-2 Lakhs</v>
      </c>
    </row>
    <row r="41" spans="1:10" x14ac:dyDescent="0.25">
      <c r="A41" s="12">
        <v>40</v>
      </c>
      <c r="B41" s="6">
        <v>3766</v>
      </c>
      <c r="C41" s="12">
        <v>30</v>
      </c>
      <c r="D41" s="6" t="s">
        <v>11</v>
      </c>
      <c r="E41" s="6" t="s">
        <v>317</v>
      </c>
      <c r="F41" s="10">
        <v>28299</v>
      </c>
      <c r="G41" s="12">
        <v>16</v>
      </c>
      <c r="H41" s="8">
        <v>132927</v>
      </c>
      <c r="I41" s="6" t="str" cm="1">
        <f t="array" ref="I41">_xlfn.IFS(C41&gt;50,"50+",C41&gt;=30,"30-50",C41&lt;30,"Under 30")</f>
        <v>30-50</v>
      </c>
      <c r="J41" s="6" t="str" cm="1">
        <f t="array" ref="J41">_xlfn.IFS(H41&gt;200000,"2 Lakhs +",H41&gt;=100000,"1-2 Lakhs",H41&lt;100000,"Below 1 Lakhs")</f>
        <v>1-2 Lakhs</v>
      </c>
    </row>
    <row r="42" spans="1:10" x14ac:dyDescent="0.25">
      <c r="A42" s="12">
        <v>41</v>
      </c>
      <c r="B42" s="6">
        <v>6867</v>
      </c>
      <c r="C42" s="12">
        <v>47</v>
      </c>
      <c r="D42" s="6" t="s">
        <v>10</v>
      </c>
      <c r="E42" s="6" t="s">
        <v>316</v>
      </c>
      <c r="F42" s="10">
        <v>39670</v>
      </c>
      <c r="G42" s="12">
        <v>26</v>
      </c>
      <c r="H42" s="8">
        <v>208357</v>
      </c>
      <c r="I42" s="6" t="str" cm="1">
        <f t="array" ref="I42">_xlfn.IFS(C42&gt;50,"50+",C42&gt;=30,"30-50",C42&lt;30,"Under 30")</f>
        <v>30-50</v>
      </c>
      <c r="J42" s="6" t="str" cm="1">
        <f t="array" ref="J42">_xlfn.IFS(H42&gt;200000,"2 Lakhs +",H42&gt;=100000,"1-2 Lakhs",H42&lt;100000,"Below 1 Lakhs")</f>
        <v>2 Lakhs +</v>
      </c>
    </row>
    <row r="43" spans="1:10" x14ac:dyDescent="0.25">
      <c r="A43" s="12">
        <v>42</v>
      </c>
      <c r="B43" s="6">
        <v>3272</v>
      </c>
      <c r="C43" s="12">
        <v>22</v>
      </c>
      <c r="D43" s="6" t="s">
        <v>10</v>
      </c>
      <c r="E43" s="6" t="s">
        <v>317</v>
      </c>
      <c r="F43" s="10">
        <v>34593</v>
      </c>
      <c r="G43" s="12">
        <v>12</v>
      </c>
      <c r="H43" s="8">
        <v>98088</v>
      </c>
      <c r="I43" s="6" t="str" cm="1">
        <f t="array" ref="I43">_xlfn.IFS(C43&gt;50,"50+",C43&gt;=30,"30-50",C43&lt;30,"Under 30")</f>
        <v>Under 30</v>
      </c>
      <c r="J43" s="6" t="str" cm="1">
        <f t="array" ref="J43">_xlfn.IFS(H43&gt;200000,"2 Lakhs +",H43&gt;=100000,"1-2 Lakhs",H43&lt;100000,"Below 1 Lakhs")</f>
        <v>Below 1 Lakhs</v>
      </c>
    </row>
    <row r="44" spans="1:10" x14ac:dyDescent="0.25">
      <c r="A44" s="12">
        <v>43</v>
      </c>
      <c r="B44" s="6">
        <v>9299</v>
      </c>
      <c r="C44" s="12">
        <v>45</v>
      </c>
      <c r="D44" s="6" t="s">
        <v>10</v>
      </c>
      <c r="E44" s="6" t="s">
        <v>316</v>
      </c>
      <c r="F44" s="10">
        <v>44231</v>
      </c>
      <c r="G44" s="12">
        <v>20</v>
      </c>
      <c r="H44" s="8">
        <v>162526</v>
      </c>
      <c r="I44" s="6" t="str" cm="1">
        <f t="array" ref="I44">_xlfn.IFS(C44&gt;50,"50+",C44&gt;=30,"30-50",C44&lt;30,"Under 30")</f>
        <v>30-50</v>
      </c>
      <c r="J44" s="6" t="str" cm="1">
        <f t="array" ref="J44">_xlfn.IFS(H44&gt;200000,"2 Lakhs +",H44&gt;=100000,"1-2 Lakhs",H44&lt;100000,"Below 1 Lakhs")</f>
        <v>1-2 Lakhs</v>
      </c>
    </row>
    <row r="45" spans="1:10" x14ac:dyDescent="0.25">
      <c r="A45" s="12">
        <v>44</v>
      </c>
      <c r="B45" s="6">
        <v>3681</v>
      </c>
      <c r="C45" s="12">
        <v>48</v>
      </c>
      <c r="D45" s="6" t="s">
        <v>8</v>
      </c>
      <c r="E45" s="6" t="s">
        <v>317</v>
      </c>
      <c r="F45" s="10">
        <v>27080</v>
      </c>
      <c r="G45" s="12">
        <v>23</v>
      </c>
      <c r="H45" s="8">
        <v>182251</v>
      </c>
      <c r="I45" s="6" t="str" cm="1">
        <f t="array" ref="I45">_xlfn.IFS(C45&gt;50,"50+",C45&gt;=30,"30-50",C45&lt;30,"Under 30")</f>
        <v>30-50</v>
      </c>
      <c r="J45" s="6" t="str" cm="1">
        <f t="array" ref="J45">_xlfn.IFS(H45&gt;200000,"2 Lakhs +",H45&gt;=100000,"1-2 Lakhs",H45&lt;100000,"Below 1 Lakhs")</f>
        <v>1-2 Lakhs</v>
      </c>
    </row>
    <row r="46" spans="1:10" x14ac:dyDescent="0.25">
      <c r="A46" s="12">
        <v>45</v>
      </c>
      <c r="B46" s="6">
        <v>1311</v>
      </c>
      <c r="C46" s="12">
        <v>51</v>
      </c>
      <c r="D46" s="6" t="s">
        <v>10</v>
      </c>
      <c r="E46" s="6" t="s">
        <v>317</v>
      </c>
      <c r="F46" s="10">
        <v>44672</v>
      </c>
      <c r="G46" s="12">
        <v>27</v>
      </c>
      <c r="H46" s="8">
        <v>222715</v>
      </c>
      <c r="I46" s="6" t="str" cm="1">
        <f t="array" ref="I46">_xlfn.IFS(C46&gt;50,"50+",C46&gt;=30,"30-50",C46&lt;30,"Under 30")</f>
        <v>50+</v>
      </c>
      <c r="J46" s="6" t="str" cm="1">
        <f t="array" ref="J46">_xlfn.IFS(H46&gt;200000,"2 Lakhs +",H46&gt;=100000,"1-2 Lakhs",H46&lt;100000,"Below 1 Lakhs")</f>
        <v>2 Lakhs +</v>
      </c>
    </row>
    <row r="47" spans="1:10" x14ac:dyDescent="0.25">
      <c r="A47" s="12">
        <v>46</v>
      </c>
      <c r="B47" s="6">
        <v>7563</v>
      </c>
      <c r="C47" s="12">
        <v>31</v>
      </c>
      <c r="D47" s="6" t="s">
        <v>8</v>
      </c>
      <c r="E47" s="6" t="s">
        <v>316</v>
      </c>
      <c r="F47" s="10">
        <v>29962</v>
      </c>
      <c r="G47" s="12">
        <v>17</v>
      </c>
      <c r="H47" s="8">
        <v>133435</v>
      </c>
      <c r="I47" s="6" t="str" cm="1">
        <f t="array" ref="I47">_xlfn.IFS(C47&gt;50,"50+",C47&gt;=30,"30-50",C47&lt;30,"Under 30")</f>
        <v>30-50</v>
      </c>
      <c r="J47" s="6" t="str" cm="1">
        <f t="array" ref="J47">_xlfn.IFS(H47&gt;200000,"2 Lakhs +",H47&gt;=100000,"1-2 Lakhs",H47&lt;100000,"Below 1 Lakhs")</f>
        <v>1-2 Lakhs</v>
      </c>
    </row>
    <row r="48" spans="1:10" x14ac:dyDescent="0.25">
      <c r="A48" s="12">
        <v>47</v>
      </c>
      <c r="B48" s="6">
        <v>1977</v>
      </c>
      <c r="C48" s="12">
        <v>38</v>
      </c>
      <c r="D48" s="6" t="s">
        <v>8</v>
      </c>
      <c r="E48" s="6" t="s">
        <v>316</v>
      </c>
      <c r="F48" s="10">
        <v>43596</v>
      </c>
      <c r="G48" s="12">
        <v>18</v>
      </c>
      <c r="H48" s="8">
        <v>130398</v>
      </c>
      <c r="I48" s="6" t="str" cm="1">
        <f t="array" ref="I48">_xlfn.IFS(C48&gt;50,"50+",C48&gt;=30,"30-50",C48&lt;30,"Under 30")</f>
        <v>30-50</v>
      </c>
      <c r="J48" s="6" t="str" cm="1">
        <f t="array" ref="J48">_xlfn.IFS(H48&gt;200000,"2 Lakhs +",H48&gt;=100000,"1-2 Lakhs",H48&lt;100000,"Below 1 Lakhs")</f>
        <v>1-2 Lakhs</v>
      </c>
    </row>
    <row r="49" spans="1:10" x14ac:dyDescent="0.25">
      <c r="A49" s="12">
        <v>48</v>
      </c>
      <c r="B49" s="6">
        <v>2765</v>
      </c>
      <c r="C49" s="12">
        <v>40</v>
      </c>
      <c r="D49" s="6" t="s">
        <v>10</v>
      </c>
      <c r="E49" s="6" t="s">
        <v>317</v>
      </c>
      <c r="F49" s="10">
        <v>36539</v>
      </c>
      <c r="G49" s="12">
        <v>21</v>
      </c>
      <c r="H49" s="8">
        <v>164496</v>
      </c>
      <c r="I49" s="6" t="str" cm="1">
        <f t="array" ref="I49">_xlfn.IFS(C49&gt;50,"50+",C49&gt;=30,"30-50",C49&lt;30,"Under 30")</f>
        <v>30-50</v>
      </c>
      <c r="J49" s="6" t="str" cm="1">
        <f t="array" ref="J49">_xlfn.IFS(H49&gt;200000,"2 Lakhs +",H49&gt;=100000,"1-2 Lakhs",H49&lt;100000,"Below 1 Lakhs")</f>
        <v>1-2 Lakhs</v>
      </c>
    </row>
    <row r="50" spans="1:10" x14ac:dyDescent="0.25">
      <c r="A50" s="12">
        <v>49</v>
      </c>
      <c r="B50" s="6">
        <v>1385</v>
      </c>
      <c r="C50" s="12">
        <v>42</v>
      </c>
      <c r="D50" s="6" t="s">
        <v>8</v>
      </c>
      <c r="E50" s="6" t="s">
        <v>316</v>
      </c>
      <c r="F50" s="10">
        <v>38961</v>
      </c>
      <c r="G50" s="12">
        <v>19</v>
      </c>
      <c r="H50" s="8">
        <v>158595</v>
      </c>
      <c r="I50" s="6" t="str" cm="1">
        <f t="array" ref="I50">_xlfn.IFS(C50&gt;50,"50+",C50&gt;=30,"30-50",C50&lt;30,"Under 30")</f>
        <v>30-50</v>
      </c>
      <c r="J50" s="6" t="str" cm="1">
        <f t="array" ref="J50">_xlfn.IFS(H50&gt;200000,"2 Lakhs +",H50&gt;=100000,"1-2 Lakhs",H50&lt;100000,"Below 1 Lakhs")</f>
        <v>1-2 Lakhs</v>
      </c>
    </row>
    <row r="51" spans="1:10" x14ac:dyDescent="0.25">
      <c r="A51" s="12">
        <v>50</v>
      </c>
      <c r="B51" s="6">
        <v>4113</v>
      </c>
      <c r="C51" s="12">
        <v>64</v>
      </c>
      <c r="D51" s="6" t="s">
        <v>11</v>
      </c>
      <c r="E51" s="6" t="s">
        <v>316</v>
      </c>
      <c r="F51" s="10">
        <v>41069</v>
      </c>
      <c r="G51" s="12">
        <v>30</v>
      </c>
      <c r="H51" s="8">
        <v>236259</v>
      </c>
      <c r="I51" s="6" t="str" cm="1">
        <f t="array" ref="I51">_xlfn.IFS(C51&gt;50,"50+",C51&gt;=30,"30-50",C51&lt;30,"Under 30")</f>
        <v>50+</v>
      </c>
      <c r="J51" s="6" t="str" cm="1">
        <f t="array" ref="J51">_xlfn.IFS(H51&gt;200000,"2 Lakhs +",H51&gt;=100000,"1-2 Lakhs",H51&lt;100000,"Below 1 Lakhs")</f>
        <v>2 Lakhs +</v>
      </c>
    </row>
    <row r="52" spans="1:10" x14ac:dyDescent="0.25">
      <c r="A52" s="12">
        <v>51</v>
      </c>
      <c r="B52" s="6">
        <v>8791</v>
      </c>
      <c r="C52" s="12">
        <v>50</v>
      </c>
      <c r="D52" s="6" t="s">
        <v>10</v>
      </c>
      <c r="E52" s="6" t="s">
        <v>317</v>
      </c>
      <c r="F52" s="10">
        <v>27499</v>
      </c>
      <c r="G52" s="12">
        <v>22</v>
      </c>
      <c r="H52" s="8">
        <v>174905</v>
      </c>
      <c r="I52" s="6" t="str" cm="1">
        <f t="array" ref="I52">_xlfn.IFS(C52&gt;50,"50+",C52&gt;=30,"30-50",C52&lt;30,"Under 30")</f>
        <v>30-50</v>
      </c>
      <c r="J52" s="6" t="str" cm="1">
        <f t="array" ref="J52">_xlfn.IFS(H52&gt;200000,"2 Lakhs +",H52&gt;=100000,"1-2 Lakhs",H52&lt;100000,"Below 1 Lakhs")</f>
        <v>1-2 Lakhs</v>
      </c>
    </row>
    <row r="53" spans="1:10" x14ac:dyDescent="0.25">
      <c r="A53" s="12">
        <v>52</v>
      </c>
      <c r="B53" s="6">
        <v>7925</v>
      </c>
      <c r="C53" s="12">
        <v>44</v>
      </c>
      <c r="D53" s="6" t="s">
        <v>13</v>
      </c>
      <c r="E53" s="6" t="s">
        <v>316</v>
      </c>
      <c r="F53" s="10">
        <v>34686</v>
      </c>
      <c r="G53" s="12">
        <v>21</v>
      </c>
      <c r="H53" s="8">
        <v>161581</v>
      </c>
      <c r="I53" s="6" t="str" cm="1">
        <f t="array" ref="I53">_xlfn.IFS(C53&gt;50,"50+",C53&gt;=30,"30-50",C53&lt;30,"Under 30")</f>
        <v>30-50</v>
      </c>
      <c r="J53" s="6" t="str" cm="1">
        <f t="array" ref="J53">_xlfn.IFS(H53&gt;200000,"2 Lakhs +",H53&gt;=100000,"1-2 Lakhs",H53&lt;100000,"Below 1 Lakhs")</f>
        <v>1-2 Lakhs</v>
      </c>
    </row>
    <row r="54" spans="1:10" x14ac:dyDescent="0.25">
      <c r="A54" s="12">
        <v>53</v>
      </c>
      <c r="B54" s="6">
        <v>9867</v>
      </c>
      <c r="C54" s="12">
        <v>50</v>
      </c>
      <c r="D54" s="6" t="s">
        <v>17</v>
      </c>
      <c r="E54" s="6" t="s">
        <v>317</v>
      </c>
      <c r="F54" s="10">
        <v>32072</v>
      </c>
      <c r="G54" s="12">
        <v>27</v>
      </c>
      <c r="H54" s="8">
        <v>210865</v>
      </c>
      <c r="I54" s="6" t="str" cm="1">
        <f t="array" ref="I54">_xlfn.IFS(C54&gt;50,"50+",C54&gt;=30,"30-50",C54&lt;30,"Under 30")</f>
        <v>30-50</v>
      </c>
      <c r="J54" s="6" t="str" cm="1">
        <f t="array" ref="J54">_xlfn.IFS(H54&gt;200000,"2 Lakhs +",H54&gt;=100000,"1-2 Lakhs",H54&lt;100000,"Below 1 Lakhs")</f>
        <v>2 Lakhs +</v>
      </c>
    </row>
    <row r="55" spans="1:10" x14ac:dyDescent="0.25">
      <c r="A55" s="12">
        <v>54</v>
      </c>
      <c r="B55" s="6">
        <v>3086</v>
      </c>
      <c r="C55" s="12">
        <v>46</v>
      </c>
      <c r="D55" s="6" t="s">
        <v>17</v>
      </c>
      <c r="E55" s="6" t="s">
        <v>317</v>
      </c>
      <c r="F55" s="10">
        <v>43869</v>
      </c>
      <c r="G55" s="12">
        <v>23</v>
      </c>
      <c r="H55" s="8">
        <v>187209</v>
      </c>
      <c r="I55" s="6" t="str" cm="1">
        <f t="array" ref="I55">_xlfn.IFS(C55&gt;50,"50+",C55&gt;=30,"30-50",C55&lt;30,"Under 30")</f>
        <v>30-50</v>
      </c>
      <c r="J55" s="6" t="str" cm="1">
        <f t="array" ref="J55">_xlfn.IFS(H55&gt;200000,"2 Lakhs +",H55&gt;=100000,"1-2 Lakhs",H55&lt;100000,"Below 1 Lakhs")</f>
        <v>1-2 Lakhs</v>
      </c>
    </row>
    <row r="56" spans="1:10" x14ac:dyDescent="0.25">
      <c r="A56" s="12">
        <v>55</v>
      </c>
      <c r="B56" s="6">
        <v>2797</v>
      </c>
      <c r="C56" s="12">
        <v>51</v>
      </c>
      <c r="D56" s="6" t="s">
        <v>17</v>
      </c>
      <c r="E56" s="6" t="s">
        <v>317</v>
      </c>
      <c r="F56" s="10">
        <v>41585</v>
      </c>
      <c r="G56" s="12">
        <v>27</v>
      </c>
      <c r="H56" s="8">
        <v>216483</v>
      </c>
      <c r="I56" s="6" t="str" cm="1">
        <f t="array" ref="I56">_xlfn.IFS(C56&gt;50,"50+",C56&gt;=30,"30-50",C56&lt;30,"Under 30")</f>
        <v>50+</v>
      </c>
      <c r="J56" s="6" t="str" cm="1">
        <f t="array" ref="J56">_xlfn.IFS(H56&gt;200000,"2 Lakhs +",H56&gt;=100000,"1-2 Lakhs",H56&lt;100000,"Below 1 Lakhs")</f>
        <v>2 Lakhs +</v>
      </c>
    </row>
    <row r="57" spans="1:10" x14ac:dyDescent="0.25">
      <c r="A57" s="12">
        <v>56</v>
      </c>
      <c r="B57" s="6">
        <v>2514</v>
      </c>
      <c r="C57" s="12">
        <v>63</v>
      </c>
      <c r="D57" s="6" t="s">
        <v>17</v>
      </c>
      <c r="E57" s="6" t="s">
        <v>316</v>
      </c>
      <c r="F57" s="10">
        <v>37692</v>
      </c>
      <c r="G57" s="12">
        <v>31</v>
      </c>
      <c r="H57" s="8">
        <v>241732</v>
      </c>
      <c r="I57" s="6" t="str" cm="1">
        <f t="array" ref="I57">_xlfn.IFS(C57&gt;50,"50+",C57&gt;=30,"30-50",C57&lt;30,"Under 30")</f>
        <v>50+</v>
      </c>
      <c r="J57" s="6" t="str" cm="1">
        <f t="array" ref="J57">_xlfn.IFS(H57&gt;200000,"2 Lakhs +",H57&gt;=100000,"1-2 Lakhs",H57&lt;100000,"Below 1 Lakhs")</f>
        <v>2 Lakhs +</v>
      </c>
    </row>
    <row r="58" spans="1:10" x14ac:dyDescent="0.25">
      <c r="A58" s="12">
        <v>57</v>
      </c>
      <c r="B58" s="6">
        <v>5404</v>
      </c>
      <c r="C58" s="12">
        <v>22</v>
      </c>
      <c r="D58" s="6" t="s">
        <v>17</v>
      </c>
      <c r="E58" s="6" t="s">
        <v>317</v>
      </c>
      <c r="F58" s="10">
        <v>27170</v>
      </c>
      <c r="G58" s="12">
        <v>13</v>
      </c>
      <c r="H58" s="8">
        <v>100085</v>
      </c>
      <c r="I58" s="6" t="str" cm="1">
        <f t="array" ref="I58">_xlfn.IFS(C58&gt;50,"50+",C58&gt;=30,"30-50",C58&lt;30,"Under 30")</f>
        <v>Under 30</v>
      </c>
      <c r="J58" s="6" t="str" cm="1">
        <f t="array" ref="J58">_xlfn.IFS(H58&gt;200000,"2 Lakhs +",H58&gt;=100000,"1-2 Lakhs",H58&lt;100000,"Below 1 Lakhs")</f>
        <v>1-2 Lakhs</v>
      </c>
    </row>
    <row r="59" spans="1:10" x14ac:dyDescent="0.25">
      <c r="A59" s="12">
        <v>58</v>
      </c>
      <c r="B59" s="6">
        <v>7609</v>
      </c>
      <c r="C59" s="12">
        <v>48</v>
      </c>
      <c r="D59" s="6" t="s">
        <v>13</v>
      </c>
      <c r="E59" s="6" t="s">
        <v>316</v>
      </c>
      <c r="F59" s="10">
        <v>32974</v>
      </c>
      <c r="G59" s="12">
        <v>24</v>
      </c>
      <c r="H59" s="8">
        <v>196599</v>
      </c>
      <c r="I59" s="6" t="str" cm="1">
        <f t="array" ref="I59">_xlfn.IFS(C59&gt;50,"50+",C59&gt;=30,"30-50",C59&lt;30,"Under 30")</f>
        <v>30-50</v>
      </c>
      <c r="J59" s="6" t="str" cm="1">
        <f t="array" ref="J59">_xlfn.IFS(H59&gt;200000,"2 Lakhs +",H59&gt;=100000,"1-2 Lakhs",H59&lt;100000,"Below 1 Lakhs")</f>
        <v>1-2 Lakhs</v>
      </c>
    </row>
    <row r="60" spans="1:10" x14ac:dyDescent="0.25">
      <c r="A60" s="12">
        <v>59</v>
      </c>
      <c r="B60" s="6">
        <v>4788</v>
      </c>
      <c r="C60" s="12">
        <v>53</v>
      </c>
      <c r="D60" s="6" t="s">
        <v>10</v>
      </c>
      <c r="E60" s="6" t="s">
        <v>316</v>
      </c>
      <c r="F60" s="10">
        <v>31948</v>
      </c>
      <c r="G60" s="12">
        <v>25</v>
      </c>
      <c r="H60" s="8">
        <v>203758</v>
      </c>
      <c r="I60" s="6" t="str" cm="1">
        <f t="array" ref="I60">_xlfn.IFS(C60&gt;50,"50+",C60&gt;=30,"30-50",C60&lt;30,"Under 30")</f>
        <v>50+</v>
      </c>
      <c r="J60" s="6" t="str" cm="1">
        <f t="array" ref="J60">_xlfn.IFS(H60&gt;200000,"2 Lakhs +",H60&gt;=100000,"1-2 Lakhs",H60&lt;100000,"Below 1 Lakhs")</f>
        <v>2 Lakhs +</v>
      </c>
    </row>
    <row r="61" spans="1:10" x14ac:dyDescent="0.25">
      <c r="A61" s="12">
        <v>60</v>
      </c>
      <c r="B61" s="6">
        <v>1607</v>
      </c>
      <c r="C61" s="12">
        <v>59</v>
      </c>
      <c r="D61" s="6" t="s">
        <v>17</v>
      </c>
      <c r="E61" s="6" t="s">
        <v>317</v>
      </c>
      <c r="F61" s="10">
        <v>28052</v>
      </c>
      <c r="G61" s="12">
        <v>32</v>
      </c>
      <c r="H61" s="8">
        <v>254771</v>
      </c>
      <c r="I61" s="6" t="str" cm="1">
        <f t="array" ref="I61">_xlfn.IFS(C61&gt;50,"50+",C61&gt;=30,"30-50",C61&lt;30,"Under 30")</f>
        <v>50+</v>
      </c>
      <c r="J61" s="6" t="str" cm="1">
        <f t="array" ref="J61">_xlfn.IFS(H61&gt;200000,"2 Lakhs +",H61&gt;=100000,"1-2 Lakhs",H61&lt;100000,"Below 1 Lakhs")</f>
        <v>2 Lakhs +</v>
      </c>
    </row>
    <row r="62" spans="1:10" x14ac:dyDescent="0.25">
      <c r="A62" s="12">
        <v>61</v>
      </c>
      <c r="B62" s="6">
        <v>4605</v>
      </c>
      <c r="C62" s="12">
        <v>53</v>
      </c>
      <c r="D62" s="6" t="s">
        <v>8</v>
      </c>
      <c r="E62" s="6" t="s">
        <v>317</v>
      </c>
      <c r="F62" s="10">
        <v>39709</v>
      </c>
      <c r="G62" s="12">
        <v>28</v>
      </c>
      <c r="H62" s="8">
        <v>221350</v>
      </c>
      <c r="I62" s="6" t="str" cm="1">
        <f t="array" ref="I62">_xlfn.IFS(C62&gt;50,"50+",C62&gt;=30,"30-50",C62&lt;30,"Under 30")</f>
        <v>50+</v>
      </c>
      <c r="J62" s="6" t="str" cm="1">
        <f t="array" ref="J62">_xlfn.IFS(H62&gt;200000,"2 Lakhs +",H62&gt;=100000,"1-2 Lakhs",H62&lt;100000,"Below 1 Lakhs")</f>
        <v>2 Lakhs +</v>
      </c>
    </row>
    <row r="63" spans="1:10" x14ac:dyDescent="0.25">
      <c r="A63" s="12">
        <v>62</v>
      </c>
      <c r="B63" s="6">
        <v>9897</v>
      </c>
      <c r="C63" s="12">
        <v>60</v>
      </c>
      <c r="D63" s="6" t="s">
        <v>8</v>
      </c>
      <c r="E63" s="6" t="s">
        <v>316</v>
      </c>
      <c r="F63" s="10">
        <v>38220</v>
      </c>
      <c r="G63" s="12">
        <v>28</v>
      </c>
      <c r="H63" s="8">
        <v>227840</v>
      </c>
      <c r="I63" s="6" t="str" cm="1">
        <f t="array" ref="I63">_xlfn.IFS(C63&gt;50,"50+",C63&gt;=30,"30-50",C63&lt;30,"Under 30")</f>
        <v>50+</v>
      </c>
      <c r="J63" s="6" t="str" cm="1">
        <f t="array" ref="J63">_xlfn.IFS(H63&gt;200000,"2 Lakhs +",H63&gt;=100000,"1-2 Lakhs",H63&lt;100000,"Below 1 Lakhs")</f>
        <v>2 Lakhs +</v>
      </c>
    </row>
    <row r="64" spans="1:10" x14ac:dyDescent="0.25">
      <c r="A64" s="12">
        <v>63</v>
      </c>
      <c r="B64" s="6">
        <v>6593</v>
      </c>
      <c r="C64" s="12">
        <v>30</v>
      </c>
      <c r="D64" s="6" t="s">
        <v>8</v>
      </c>
      <c r="E64" s="6" t="s">
        <v>316</v>
      </c>
      <c r="F64" s="10">
        <v>39715</v>
      </c>
      <c r="G64" s="12">
        <v>15</v>
      </c>
      <c r="H64" s="8">
        <v>118126</v>
      </c>
      <c r="I64" s="6" t="str" cm="1">
        <f t="array" ref="I64">_xlfn.IFS(C64&gt;50,"50+",C64&gt;=30,"30-50",C64&lt;30,"Under 30")</f>
        <v>30-50</v>
      </c>
      <c r="J64" s="6" t="str" cm="1">
        <f t="array" ref="J64">_xlfn.IFS(H64&gt;200000,"2 Lakhs +",H64&gt;=100000,"1-2 Lakhs",H64&lt;100000,"Below 1 Lakhs")</f>
        <v>1-2 Lakhs</v>
      </c>
    </row>
    <row r="65" spans="1:10" x14ac:dyDescent="0.25">
      <c r="A65" s="12">
        <v>64</v>
      </c>
      <c r="B65" s="6">
        <v>2340</v>
      </c>
      <c r="C65" s="12">
        <v>32</v>
      </c>
      <c r="D65" s="6" t="s">
        <v>10</v>
      </c>
      <c r="E65" s="6" t="s">
        <v>316</v>
      </c>
      <c r="F65" s="10">
        <v>27851</v>
      </c>
      <c r="G65" s="12">
        <v>15</v>
      </c>
      <c r="H65" s="8">
        <v>124811</v>
      </c>
      <c r="I65" s="6" t="str" cm="1">
        <f t="array" ref="I65">_xlfn.IFS(C65&gt;50,"50+",C65&gt;=30,"30-50",C65&lt;30,"Under 30")</f>
        <v>30-50</v>
      </c>
      <c r="J65" s="6" t="str" cm="1">
        <f t="array" ref="J65">_xlfn.IFS(H65&gt;200000,"2 Lakhs +",H65&gt;=100000,"1-2 Lakhs",H65&lt;100000,"Below 1 Lakhs")</f>
        <v>1-2 Lakhs</v>
      </c>
    </row>
    <row r="66" spans="1:10" x14ac:dyDescent="0.25">
      <c r="A66" s="12">
        <v>65</v>
      </c>
      <c r="B66" s="6">
        <v>5328</v>
      </c>
      <c r="C66" s="12">
        <v>34</v>
      </c>
      <c r="D66" s="6" t="s">
        <v>17</v>
      </c>
      <c r="E66" s="6" t="s">
        <v>316</v>
      </c>
      <c r="F66" s="10">
        <v>38528</v>
      </c>
      <c r="G66" s="12">
        <v>17</v>
      </c>
      <c r="H66" s="8">
        <v>138134</v>
      </c>
      <c r="I66" s="6" t="str" cm="1">
        <f t="array" ref="I66">_xlfn.IFS(C66&gt;50,"50+",C66&gt;=30,"30-50",C66&lt;30,"Under 30")</f>
        <v>30-50</v>
      </c>
      <c r="J66" s="6" t="str" cm="1">
        <f t="array" ref="J66">_xlfn.IFS(H66&gt;200000,"2 Lakhs +",H66&gt;=100000,"1-2 Lakhs",H66&lt;100000,"Below 1 Lakhs")</f>
        <v>1-2 Lakhs</v>
      </c>
    </row>
    <row r="67" spans="1:10" x14ac:dyDescent="0.25">
      <c r="A67" s="12">
        <v>66</v>
      </c>
      <c r="B67" s="6">
        <v>5037</v>
      </c>
      <c r="C67" s="12">
        <v>36</v>
      </c>
      <c r="D67" s="6" t="s">
        <v>8</v>
      </c>
      <c r="E67" s="6" t="s">
        <v>316</v>
      </c>
      <c r="F67" s="10">
        <v>36671</v>
      </c>
      <c r="G67" s="12">
        <v>16</v>
      </c>
      <c r="H67" s="8">
        <v>127124</v>
      </c>
      <c r="I67" s="6" t="str" cm="1">
        <f t="array" ref="I67">_xlfn.IFS(C67&gt;50,"50+",C67&gt;=30,"30-50",C67&lt;30,"Under 30")</f>
        <v>30-50</v>
      </c>
      <c r="J67" s="6" t="str" cm="1">
        <f t="array" ref="J67">_xlfn.IFS(H67&gt;200000,"2 Lakhs +",H67&gt;=100000,"1-2 Lakhs",H67&lt;100000,"Below 1 Lakhs")</f>
        <v>1-2 Lakhs</v>
      </c>
    </row>
    <row r="68" spans="1:10" x14ac:dyDescent="0.25">
      <c r="A68" s="12">
        <v>67</v>
      </c>
      <c r="B68" s="6">
        <v>4527</v>
      </c>
      <c r="C68" s="12">
        <v>44</v>
      </c>
      <c r="D68" s="6" t="s">
        <v>10</v>
      </c>
      <c r="E68" s="6" t="s">
        <v>316</v>
      </c>
      <c r="F68" s="10">
        <v>27888</v>
      </c>
      <c r="G68" s="12">
        <v>19</v>
      </c>
      <c r="H68" s="8">
        <v>151056</v>
      </c>
      <c r="I68" s="6" t="str" cm="1">
        <f t="array" ref="I68">_xlfn.IFS(C68&gt;50,"50+",C68&gt;=30,"30-50",C68&lt;30,"Under 30")</f>
        <v>30-50</v>
      </c>
      <c r="J68" s="6" t="str" cm="1">
        <f t="array" ref="J68">_xlfn.IFS(H68&gt;200000,"2 Lakhs +",H68&gt;=100000,"1-2 Lakhs",H68&lt;100000,"Below 1 Lakhs")</f>
        <v>1-2 Lakhs</v>
      </c>
    </row>
    <row r="69" spans="1:10" x14ac:dyDescent="0.25">
      <c r="A69" s="12">
        <v>68</v>
      </c>
      <c r="B69" s="6">
        <v>6286</v>
      </c>
      <c r="C69" s="12">
        <v>40</v>
      </c>
      <c r="D69" s="6" t="s">
        <v>8</v>
      </c>
      <c r="E69" s="6" t="s">
        <v>316</v>
      </c>
      <c r="F69" s="10">
        <v>37428</v>
      </c>
      <c r="G69" s="12">
        <v>18</v>
      </c>
      <c r="H69" s="8">
        <v>135177</v>
      </c>
      <c r="I69" s="6" t="str" cm="1">
        <f t="array" ref="I69">_xlfn.IFS(C69&gt;50,"50+",C69&gt;=30,"30-50",C69&lt;30,"Under 30")</f>
        <v>30-50</v>
      </c>
      <c r="J69" s="6" t="str" cm="1">
        <f t="array" ref="J69">_xlfn.IFS(H69&gt;200000,"2 Lakhs +",H69&gt;=100000,"1-2 Lakhs",H69&lt;100000,"Below 1 Lakhs")</f>
        <v>1-2 Lakhs</v>
      </c>
    </row>
    <row r="70" spans="1:10" x14ac:dyDescent="0.25">
      <c r="A70" s="12">
        <v>69</v>
      </c>
      <c r="B70" s="6">
        <v>3154</v>
      </c>
      <c r="C70" s="12">
        <v>31</v>
      </c>
      <c r="D70" s="6" t="s">
        <v>11</v>
      </c>
      <c r="E70" s="6" t="s">
        <v>317</v>
      </c>
      <c r="F70" s="10">
        <v>35458</v>
      </c>
      <c r="G70" s="12">
        <v>12</v>
      </c>
      <c r="H70" s="8">
        <v>99214</v>
      </c>
      <c r="I70" s="6" t="str" cm="1">
        <f t="array" ref="I70">_xlfn.IFS(C70&gt;50,"50+",C70&gt;=30,"30-50",C70&lt;30,"Under 30")</f>
        <v>30-50</v>
      </c>
      <c r="J70" s="6" t="str" cm="1">
        <f t="array" ref="J70">_xlfn.IFS(H70&gt;200000,"2 Lakhs +",H70&gt;=100000,"1-2 Lakhs",H70&lt;100000,"Below 1 Lakhs")</f>
        <v>Below 1 Lakhs</v>
      </c>
    </row>
    <row r="71" spans="1:10" x14ac:dyDescent="0.25">
      <c r="A71" s="12">
        <v>70</v>
      </c>
      <c r="B71" s="6">
        <v>9819</v>
      </c>
      <c r="C71" s="12">
        <v>35</v>
      </c>
      <c r="D71" s="6" t="s">
        <v>10</v>
      </c>
      <c r="E71" s="6" t="s">
        <v>316</v>
      </c>
      <c r="F71" s="10">
        <v>43681</v>
      </c>
      <c r="G71" s="12">
        <v>17</v>
      </c>
      <c r="H71" s="8">
        <v>133866</v>
      </c>
      <c r="I71" s="6" t="str" cm="1">
        <f t="array" ref="I71">_xlfn.IFS(C71&gt;50,"50+",C71&gt;=30,"30-50",C71&lt;30,"Under 30")</f>
        <v>30-50</v>
      </c>
      <c r="J71" s="6" t="str" cm="1">
        <f t="array" ref="J71">_xlfn.IFS(H71&gt;200000,"2 Lakhs +",H71&gt;=100000,"1-2 Lakhs",H71&lt;100000,"Below 1 Lakhs")</f>
        <v>1-2 Lakhs</v>
      </c>
    </row>
    <row r="72" spans="1:10" x14ac:dyDescent="0.25">
      <c r="A72" s="12">
        <v>71</v>
      </c>
      <c r="B72" s="6">
        <v>3438</v>
      </c>
      <c r="C72" s="12">
        <v>32</v>
      </c>
      <c r="D72" s="6" t="s">
        <v>17</v>
      </c>
      <c r="E72" s="6" t="s">
        <v>317</v>
      </c>
      <c r="F72" s="10">
        <v>27184</v>
      </c>
      <c r="G72" s="12">
        <v>16</v>
      </c>
      <c r="H72" s="8">
        <v>127570</v>
      </c>
      <c r="I72" s="6" t="str" cm="1">
        <f t="array" ref="I72">_xlfn.IFS(C72&gt;50,"50+",C72&gt;=30,"30-50",C72&lt;30,"Under 30")</f>
        <v>30-50</v>
      </c>
      <c r="J72" s="6" t="str" cm="1">
        <f t="array" ref="J72">_xlfn.IFS(H72&gt;200000,"2 Lakhs +",H72&gt;=100000,"1-2 Lakhs",H72&lt;100000,"Below 1 Lakhs")</f>
        <v>1-2 Lakhs</v>
      </c>
    </row>
    <row r="73" spans="1:10" x14ac:dyDescent="0.25">
      <c r="A73" s="12">
        <v>72</v>
      </c>
      <c r="B73" s="6">
        <v>8337</v>
      </c>
      <c r="C73" s="12">
        <v>35</v>
      </c>
      <c r="D73" s="6" t="s">
        <v>13</v>
      </c>
      <c r="E73" s="6" t="s">
        <v>317</v>
      </c>
      <c r="F73" s="10">
        <v>33369</v>
      </c>
      <c r="G73" s="12">
        <v>19</v>
      </c>
      <c r="H73" s="8">
        <v>140250</v>
      </c>
      <c r="I73" s="6" t="str" cm="1">
        <f t="array" ref="I73">_xlfn.IFS(C73&gt;50,"50+",C73&gt;=30,"30-50",C73&lt;30,"Under 30")</f>
        <v>30-50</v>
      </c>
      <c r="J73" s="6" t="str" cm="1">
        <f t="array" ref="J73">_xlfn.IFS(H73&gt;200000,"2 Lakhs +",H73&gt;=100000,"1-2 Lakhs",H73&lt;100000,"Below 1 Lakhs")</f>
        <v>1-2 Lakhs</v>
      </c>
    </row>
    <row r="74" spans="1:10" x14ac:dyDescent="0.25">
      <c r="A74" s="12">
        <v>73</v>
      </c>
      <c r="B74" s="6">
        <v>7233</v>
      </c>
      <c r="C74" s="12">
        <v>51</v>
      </c>
      <c r="D74" s="6" t="s">
        <v>10</v>
      </c>
      <c r="E74" s="6" t="s">
        <v>316</v>
      </c>
      <c r="F74" s="10">
        <v>33641</v>
      </c>
      <c r="G74" s="12">
        <v>27</v>
      </c>
      <c r="H74" s="8">
        <v>212800</v>
      </c>
      <c r="I74" s="6" t="str" cm="1">
        <f t="array" ref="I74">_xlfn.IFS(C74&gt;50,"50+",C74&gt;=30,"30-50",C74&lt;30,"Under 30")</f>
        <v>50+</v>
      </c>
      <c r="J74" s="6" t="str" cm="1">
        <f t="array" ref="J74">_xlfn.IFS(H74&gt;200000,"2 Lakhs +",H74&gt;=100000,"1-2 Lakhs",H74&lt;100000,"Below 1 Lakhs")</f>
        <v>2 Lakhs +</v>
      </c>
    </row>
    <row r="75" spans="1:10" x14ac:dyDescent="0.25">
      <c r="A75" s="12">
        <v>74</v>
      </c>
      <c r="B75" s="6">
        <v>7073</v>
      </c>
      <c r="C75" s="12">
        <v>50</v>
      </c>
      <c r="D75" s="6" t="s">
        <v>13</v>
      </c>
      <c r="E75" s="6" t="s">
        <v>316</v>
      </c>
      <c r="F75" s="10">
        <v>33851</v>
      </c>
      <c r="G75" s="12">
        <v>23</v>
      </c>
      <c r="H75" s="8">
        <v>191346</v>
      </c>
      <c r="I75" s="6" t="str" cm="1">
        <f t="array" ref="I75">_xlfn.IFS(C75&gt;50,"50+",C75&gt;=30,"30-50",C75&lt;30,"Under 30")</f>
        <v>30-50</v>
      </c>
      <c r="J75" s="6" t="str" cm="1">
        <f t="array" ref="J75">_xlfn.IFS(H75&gt;200000,"2 Lakhs +",H75&gt;=100000,"1-2 Lakhs",H75&lt;100000,"Below 1 Lakhs")</f>
        <v>1-2 Lakhs</v>
      </c>
    </row>
    <row r="76" spans="1:10" x14ac:dyDescent="0.25">
      <c r="A76" s="12">
        <v>75</v>
      </c>
      <c r="B76" s="6">
        <v>6850</v>
      </c>
      <c r="C76" s="12">
        <v>36</v>
      </c>
      <c r="D76" s="6" t="s">
        <v>11</v>
      </c>
      <c r="E76" s="6" t="s">
        <v>317</v>
      </c>
      <c r="F76" s="10">
        <v>35513</v>
      </c>
      <c r="G76" s="12">
        <v>20</v>
      </c>
      <c r="H76" s="8">
        <v>160278</v>
      </c>
      <c r="I76" s="6" t="str" cm="1">
        <f t="array" ref="I76">_xlfn.IFS(C76&gt;50,"50+",C76&gt;=30,"30-50",C76&lt;30,"Under 30")</f>
        <v>30-50</v>
      </c>
      <c r="J76" s="6" t="str" cm="1">
        <f t="array" ref="J76">_xlfn.IFS(H76&gt;200000,"2 Lakhs +",H76&gt;=100000,"1-2 Lakhs",H76&lt;100000,"Below 1 Lakhs")</f>
        <v>1-2 Lakhs</v>
      </c>
    </row>
    <row r="77" spans="1:10" x14ac:dyDescent="0.25">
      <c r="A77" s="12">
        <v>76</v>
      </c>
      <c r="B77" s="6">
        <v>7191</v>
      </c>
      <c r="C77" s="12">
        <v>52</v>
      </c>
      <c r="D77" s="6" t="s">
        <v>10</v>
      </c>
      <c r="E77" s="6" t="s">
        <v>317</v>
      </c>
      <c r="F77" s="10">
        <v>30446</v>
      </c>
      <c r="G77" s="12">
        <v>27</v>
      </c>
      <c r="H77" s="8">
        <v>217985</v>
      </c>
      <c r="I77" s="6" t="str" cm="1">
        <f t="array" ref="I77">_xlfn.IFS(C77&gt;50,"50+",C77&gt;=30,"30-50",C77&lt;30,"Under 30")</f>
        <v>50+</v>
      </c>
      <c r="J77" s="6" t="str" cm="1">
        <f t="array" ref="J77">_xlfn.IFS(H77&gt;200000,"2 Lakhs +",H77&gt;=100000,"1-2 Lakhs",H77&lt;100000,"Below 1 Lakhs")</f>
        <v>2 Lakhs +</v>
      </c>
    </row>
    <row r="78" spans="1:10" x14ac:dyDescent="0.25">
      <c r="A78" s="12">
        <v>77</v>
      </c>
      <c r="B78" s="6">
        <v>5208</v>
      </c>
      <c r="C78" s="12">
        <v>36</v>
      </c>
      <c r="D78" s="6" t="s">
        <v>17</v>
      </c>
      <c r="E78" s="6" t="s">
        <v>317</v>
      </c>
      <c r="F78" s="10">
        <v>44911</v>
      </c>
      <c r="G78" s="12">
        <v>20</v>
      </c>
      <c r="H78" s="8">
        <v>172798</v>
      </c>
      <c r="I78" s="6" t="str" cm="1">
        <f t="array" ref="I78">_xlfn.IFS(C78&gt;50,"50+",C78&gt;=30,"30-50",C78&lt;30,"Under 30")</f>
        <v>30-50</v>
      </c>
      <c r="J78" s="6" t="str" cm="1">
        <f t="array" ref="J78">_xlfn.IFS(H78&gt;200000,"2 Lakhs +",H78&gt;=100000,"1-2 Lakhs",H78&lt;100000,"Below 1 Lakhs")</f>
        <v>1-2 Lakhs</v>
      </c>
    </row>
    <row r="79" spans="1:10" x14ac:dyDescent="0.25">
      <c r="A79" s="12">
        <v>78</v>
      </c>
      <c r="B79" s="6">
        <v>5116</v>
      </c>
      <c r="C79" s="12">
        <v>26</v>
      </c>
      <c r="D79" s="6" t="s">
        <v>17</v>
      </c>
      <c r="E79" s="6" t="s">
        <v>316</v>
      </c>
      <c r="F79" s="10">
        <v>25987</v>
      </c>
      <c r="G79" s="12">
        <v>15</v>
      </c>
      <c r="H79" s="8">
        <v>120869</v>
      </c>
      <c r="I79" s="6" t="str" cm="1">
        <f t="array" ref="I79">_xlfn.IFS(C79&gt;50,"50+",C79&gt;=30,"30-50",C79&lt;30,"Under 30")</f>
        <v>Under 30</v>
      </c>
      <c r="J79" s="6" t="str" cm="1">
        <f t="array" ref="J79">_xlfn.IFS(H79&gt;200000,"2 Lakhs +",H79&gt;=100000,"1-2 Lakhs",H79&lt;100000,"Below 1 Lakhs")</f>
        <v>1-2 Lakhs</v>
      </c>
    </row>
    <row r="80" spans="1:10" x14ac:dyDescent="0.25">
      <c r="A80" s="12">
        <v>79</v>
      </c>
      <c r="B80" s="6">
        <v>6328</v>
      </c>
      <c r="C80" s="12">
        <v>45</v>
      </c>
      <c r="D80" s="6" t="s">
        <v>10</v>
      </c>
      <c r="E80" s="6" t="s">
        <v>317</v>
      </c>
      <c r="F80" s="10">
        <v>29280</v>
      </c>
      <c r="G80" s="12">
        <v>23</v>
      </c>
      <c r="H80" s="8">
        <v>186135</v>
      </c>
      <c r="I80" s="6" t="str" cm="1">
        <f t="array" ref="I80">_xlfn.IFS(C80&gt;50,"50+",C80&gt;=30,"30-50",C80&lt;30,"Under 30")</f>
        <v>30-50</v>
      </c>
      <c r="J80" s="6" t="str" cm="1">
        <f t="array" ref="J80">_xlfn.IFS(H80&gt;200000,"2 Lakhs +",H80&gt;=100000,"1-2 Lakhs",H80&lt;100000,"Below 1 Lakhs")</f>
        <v>1-2 Lakhs</v>
      </c>
    </row>
    <row r="81" spans="1:10" x14ac:dyDescent="0.25">
      <c r="A81" s="12">
        <v>80</v>
      </c>
      <c r="B81" s="6">
        <v>3538</v>
      </c>
      <c r="C81" s="12">
        <v>27</v>
      </c>
      <c r="D81" s="6" t="s">
        <v>13</v>
      </c>
      <c r="E81" s="6" t="s">
        <v>316</v>
      </c>
      <c r="F81" s="10">
        <v>41441</v>
      </c>
      <c r="G81" s="12">
        <v>12</v>
      </c>
      <c r="H81" s="8">
        <v>107313</v>
      </c>
      <c r="I81" s="6" t="str" cm="1">
        <f t="array" ref="I81">_xlfn.IFS(C81&gt;50,"50+",C81&gt;=30,"30-50",C81&lt;30,"Under 30")</f>
        <v>Under 30</v>
      </c>
      <c r="J81" s="6" t="str" cm="1">
        <f t="array" ref="J81">_xlfn.IFS(H81&gt;200000,"2 Lakhs +",H81&gt;=100000,"1-2 Lakhs",H81&lt;100000,"Below 1 Lakhs")</f>
        <v>1-2 Lakhs</v>
      </c>
    </row>
    <row r="82" spans="1:10" x14ac:dyDescent="0.25">
      <c r="A82" s="12">
        <v>81</v>
      </c>
      <c r="B82" s="6">
        <v>5826</v>
      </c>
      <c r="C82" s="12">
        <v>48</v>
      </c>
      <c r="D82" s="6" t="s">
        <v>13</v>
      </c>
      <c r="E82" s="6" t="s">
        <v>316</v>
      </c>
      <c r="F82" s="10">
        <v>27334</v>
      </c>
      <c r="G82" s="12">
        <v>23</v>
      </c>
      <c r="H82" s="8">
        <v>189726</v>
      </c>
      <c r="I82" s="6" t="str" cm="1">
        <f t="array" ref="I82">_xlfn.IFS(C82&gt;50,"50+",C82&gt;=30,"30-50",C82&lt;30,"Under 30")</f>
        <v>30-50</v>
      </c>
      <c r="J82" s="6" t="str" cm="1">
        <f t="array" ref="J82">_xlfn.IFS(H82&gt;200000,"2 Lakhs +",H82&gt;=100000,"1-2 Lakhs",H82&lt;100000,"Below 1 Lakhs")</f>
        <v>1-2 Lakhs</v>
      </c>
    </row>
    <row r="83" spans="1:10" x14ac:dyDescent="0.25">
      <c r="A83" s="12">
        <v>82</v>
      </c>
      <c r="B83" s="6">
        <v>6108</v>
      </c>
      <c r="C83" s="12">
        <v>45</v>
      </c>
      <c r="D83" s="6" t="s">
        <v>13</v>
      </c>
      <c r="E83" s="6" t="s">
        <v>317</v>
      </c>
      <c r="F83" s="10">
        <v>41237</v>
      </c>
      <c r="G83" s="12">
        <v>21</v>
      </c>
      <c r="H83" s="8">
        <v>171530</v>
      </c>
      <c r="I83" s="6" t="str" cm="1">
        <f t="array" ref="I83">_xlfn.IFS(C83&gt;50,"50+",C83&gt;=30,"30-50",C83&lt;30,"Under 30")</f>
        <v>30-50</v>
      </c>
      <c r="J83" s="6" t="str" cm="1">
        <f t="array" ref="J83">_xlfn.IFS(H83&gt;200000,"2 Lakhs +",H83&gt;=100000,"1-2 Lakhs",H83&lt;100000,"Below 1 Lakhs")</f>
        <v>1-2 Lakhs</v>
      </c>
    </row>
    <row r="84" spans="1:10" x14ac:dyDescent="0.25">
      <c r="A84" s="12">
        <v>83</v>
      </c>
      <c r="B84" s="6">
        <v>2867</v>
      </c>
      <c r="C84" s="12">
        <v>64</v>
      </c>
      <c r="D84" s="6" t="s">
        <v>11</v>
      </c>
      <c r="E84" s="6" t="s">
        <v>316</v>
      </c>
      <c r="F84" s="10">
        <v>42227</v>
      </c>
      <c r="G84" s="12">
        <v>34</v>
      </c>
      <c r="H84" s="8">
        <v>271935</v>
      </c>
      <c r="I84" s="6" t="str" cm="1">
        <f t="array" ref="I84">_xlfn.IFS(C84&gt;50,"50+",C84&gt;=30,"30-50",C84&lt;30,"Under 30")</f>
        <v>50+</v>
      </c>
      <c r="J84" s="6" t="str" cm="1">
        <f t="array" ref="J84">_xlfn.IFS(H84&gt;200000,"2 Lakhs +",H84&gt;=100000,"1-2 Lakhs",H84&lt;100000,"Below 1 Lakhs")</f>
        <v>2 Lakhs +</v>
      </c>
    </row>
    <row r="85" spans="1:10" x14ac:dyDescent="0.25">
      <c r="A85" s="12">
        <v>84</v>
      </c>
      <c r="B85" s="6">
        <v>4495</v>
      </c>
      <c r="C85" s="12">
        <v>53</v>
      </c>
      <c r="D85" s="6" t="s">
        <v>11</v>
      </c>
      <c r="E85" s="6" t="s">
        <v>317</v>
      </c>
      <c r="F85" s="10">
        <v>27962</v>
      </c>
      <c r="G85" s="12">
        <v>29</v>
      </c>
      <c r="H85" s="8">
        <v>234900</v>
      </c>
      <c r="I85" s="6" t="str" cm="1">
        <f t="array" ref="I85">_xlfn.IFS(C85&gt;50,"50+",C85&gt;=30,"30-50",C85&lt;30,"Under 30")</f>
        <v>50+</v>
      </c>
      <c r="J85" s="6" t="str" cm="1">
        <f t="array" ref="J85">_xlfn.IFS(H85&gt;200000,"2 Lakhs +",H85&gt;=100000,"1-2 Lakhs",H85&lt;100000,"Below 1 Lakhs")</f>
        <v>2 Lakhs +</v>
      </c>
    </row>
    <row r="86" spans="1:10" x14ac:dyDescent="0.25">
      <c r="A86" s="12">
        <v>85</v>
      </c>
      <c r="B86" s="6">
        <v>9750</v>
      </c>
      <c r="C86" s="12">
        <v>49</v>
      </c>
      <c r="D86" s="6" t="s">
        <v>8</v>
      </c>
      <c r="E86" s="6" t="s">
        <v>316</v>
      </c>
      <c r="F86" s="10">
        <v>39717</v>
      </c>
      <c r="G86" s="12">
        <v>23</v>
      </c>
      <c r="H86" s="8">
        <v>181290</v>
      </c>
      <c r="I86" s="6" t="str" cm="1">
        <f t="array" ref="I86">_xlfn.IFS(C86&gt;50,"50+",C86&gt;=30,"30-50",C86&lt;30,"Under 30")</f>
        <v>30-50</v>
      </c>
      <c r="J86" s="6" t="str" cm="1">
        <f t="array" ref="J86">_xlfn.IFS(H86&gt;200000,"2 Lakhs +",H86&gt;=100000,"1-2 Lakhs",H86&lt;100000,"Below 1 Lakhs")</f>
        <v>1-2 Lakhs</v>
      </c>
    </row>
    <row r="87" spans="1:10" x14ac:dyDescent="0.25">
      <c r="A87" s="12">
        <v>86</v>
      </c>
      <c r="B87" s="6">
        <v>9243</v>
      </c>
      <c r="C87" s="12">
        <v>60</v>
      </c>
      <c r="D87" s="6" t="s">
        <v>10</v>
      </c>
      <c r="E87" s="6" t="s">
        <v>316</v>
      </c>
      <c r="F87" s="10">
        <v>35165</v>
      </c>
      <c r="G87" s="12">
        <v>31</v>
      </c>
      <c r="H87" s="8">
        <v>246555</v>
      </c>
      <c r="I87" s="6" t="str" cm="1">
        <f t="array" ref="I87">_xlfn.IFS(C87&gt;50,"50+",C87&gt;=30,"30-50",C87&lt;30,"Under 30")</f>
        <v>50+</v>
      </c>
      <c r="J87" s="6" t="str" cm="1">
        <f t="array" ref="J87">_xlfn.IFS(H87&gt;200000,"2 Lakhs +",H87&gt;=100000,"1-2 Lakhs",H87&lt;100000,"Below 1 Lakhs")</f>
        <v>2 Lakhs +</v>
      </c>
    </row>
    <row r="88" spans="1:10" x14ac:dyDescent="0.25">
      <c r="A88" s="12">
        <v>87</v>
      </c>
      <c r="B88" s="6">
        <v>8462</v>
      </c>
      <c r="C88" s="12">
        <v>51</v>
      </c>
      <c r="D88" s="6" t="s">
        <v>8</v>
      </c>
      <c r="E88" s="6" t="s">
        <v>317</v>
      </c>
      <c r="F88" s="10">
        <v>35533</v>
      </c>
      <c r="G88" s="12">
        <v>24</v>
      </c>
      <c r="H88" s="8">
        <v>191660</v>
      </c>
      <c r="I88" s="6" t="str" cm="1">
        <f t="array" ref="I88">_xlfn.IFS(C88&gt;50,"50+",C88&gt;=30,"30-50",C88&lt;30,"Under 30")</f>
        <v>50+</v>
      </c>
      <c r="J88" s="6" t="str" cm="1">
        <f t="array" ref="J88">_xlfn.IFS(H88&gt;200000,"2 Lakhs +",H88&gt;=100000,"1-2 Lakhs",H88&lt;100000,"Below 1 Lakhs")</f>
        <v>1-2 Lakhs</v>
      </c>
    </row>
    <row r="89" spans="1:10" x14ac:dyDescent="0.25">
      <c r="A89" s="12">
        <v>88</v>
      </c>
      <c r="B89" s="6">
        <v>8247</v>
      </c>
      <c r="C89" s="12">
        <v>22</v>
      </c>
      <c r="D89" s="6" t="s">
        <v>10</v>
      </c>
      <c r="E89" s="6" t="s">
        <v>317</v>
      </c>
      <c r="F89" s="10">
        <v>38128</v>
      </c>
      <c r="G89" s="12">
        <v>14</v>
      </c>
      <c r="H89" s="8">
        <v>111511</v>
      </c>
      <c r="I89" s="6" t="str" cm="1">
        <f t="array" ref="I89">_xlfn.IFS(C89&gt;50,"50+",C89&gt;=30,"30-50",C89&lt;30,"Under 30")</f>
        <v>Under 30</v>
      </c>
      <c r="J89" s="6" t="str" cm="1">
        <f t="array" ref="J89">_xlfn.IFS(H89&gt;200000,"2 Lakhs +",H89&gt;=100000,"1-2 Lakhs",H89&lt;100000,"Below 1 Lakhs")</f>
        <v>1-2 Lakhs</v>
      </c>
    </row>
    <row r="90" spans="1:10" x14ac:dyDescent="0.25">
      <c r="A90" s="12">
        <v>89</v>
      </c>
      <c r="B90" s="6">
        <v>3054</v>
      </c>
      <c r="C90" s="12">
        <v>43</v>
      </c>
      <c r="D90" s="6" t="s">
        <v>17</v>
      </c>
      <c r="E90" s="6" t="s">
        <v>317</v>
      </c>
      <c r="F90" s="10">
        <v>44150</v>
      </c>
      <c r="G90" s="12">
        <v>19</v>
      </c>
      <c r="H90" s="8">
        <v>148439</v>
      </c>
      <c r="I90" s="6" t="str" cm="1">
        <f t="array" ref="I90">_xlfn.IFS(C90&gt;50,"50+",C90&gt;=30,"30-50",C90&lt;30,"Under 30")</f>
        <v>30-50</v>
      </c>
      <c r="J90" s="6" t="str" cm="1">
        <f t="array" ref="J90">_xlfn.IFS(H90&gt;200000,"2 Lakhs +",H90&gt;=100000,"1-2 Lakhs",H90&lt;100000,"Below 1 Lakhs")</f>
        <v>1-2 Lakhs</v>
      </c>
    </row>
    <row r="91" spans="1:10" x14ac:dyDescent="0.25">
      <c r="A91" s="12">
        <v>90</v>
      </c>
      <c r="B91" s="6">
        <v>3988</v>
      </c>
      <c r="C91" s="12">
        <v>31</v>
      </c>
      <c r="D91" s="6" t="s">
        <v>13</v>
      </c>
      <c r="E91" s="6" t="s">
        <v>317</v>
      </c>
      <c r="F91" s="10">
        <v>32710</v>
      </c>
      <c r="G91" s="12">
        <v>15</v>
      </c>
      <c r="H91" s="8">
        <v>120884</v>
      </c>
      <c r="I91" s="6" t="str" cm="1">
        <f t="array" ref="I91">_xlfn.IFS(C91&gt;50,"50+",C91&gt;=30,"30-50",C91&lt;30,"Under 30")</f>
        <v>30-50</v>
      </c>
      <c r="J91" s="6" t="str" cm="1">
        <f t="array" ref="J91">_xlfn.IFS(H91&gt;200000,"2 Lakhs +",H91&gt;=100000,"1-2 Lakhs",H91&lt;100000,"Below 1 Lakhs")</f>
        <v>1-2 Lakhs</v>
      </c>
    </row>
    <row r="92" spans="1:10" x14ac:dyDescent="0.25">
      <c r="A92" s="12">
        <v>91</v>
      </c>
      <c r="B92" s="6">
        <v>3300</v>
      </c>
      <c r="C92" s="12">
        <v>26</v>
      </c>
      <c r="D92" s="6" t="s">
        <v>10</v>
      </c>
      <c r="E92" s="6" t="s">
        <v>317</v>
      </c>
      <c r="F92" s="10">
        <v>45931</v>
      </c>
      <c r="G92" s="12">
        <v>12</v>
      </c>
      <c r="H92" s="8">
        <v>94805</v>
      </c>
      <c r="I92" s="6" t="str" cm="1">
        <f t="array" ref="I92">_xlfn.IFS(C92&gt;50,"50+",C92&gt;=30,"30-50",C92&lt;30,"Under 30")</f>
        <v>Under 30</v>
      </c>
      <c r="J92" s="6" t="str" cm="1">
        <f t="array" ref="J92">_xlfn.IFS(H92&gt;200000,"2 Lakhs +",H92&gt;=100000,"1-2 Lakhs",H92&lt;100000,"Below 1 Lakhs")</f>
        <v>Below 1 Lakhs</v>
      </c>
    </row>
    <row r="93" spans="1:10" x14ac:dyDescent="0.25">
      <c r="A93" s="12">
        <v>92</v>
      </c>
      <c r="B93" s="6">
        <v>9343</v>
      </c>
      <c r="C93" s="12">
        <v>27</v>
      </c>
      <c r="D93" s="6" t="s">
        <v>10</v>
      </c>
      <c r="E93" s="6" t="s">
        <v>316</v>
      </c>
      <c r="F93" s="10">
        <v>29951</v>
      </c>
      <c r="G93" s="12">
        <v>13</v>
      </c>
      <c r="H93" s="8">
        <v>97135</v>
      </c>
      <c r="I93" s="6" t="str" cm="1">
        <f t="array" ref="I93">_xlfn.IFS(C93&gt;50,"50+",C93&gt;=30,"30-50",C93&lt;30,"Under 30")</f>
        <v>Under 30</v>
      </c>
      <c r="J93" s="6" t="str" cm="1">
        <f t="array" ref="J93">_xlfn.IFS(H93&gt;200000,"2 Lakhs +",H93&gt;=100000,"1-2 Lakhs",H93&lt;100000,"Below 1 Lakhs")</f>
        <v>Below 1 Lakhs</v>
      </c>
    </row>
    <row r="94" spans="1:10" x14ac:dyDescent="0.25">
      <c r="A94" s="12">
        <v>93</v>
      </c>
      <c r="B94" s="6">
        <v>4183</v>
      </c>
      <c r="C94" s="12">
        <v>52</v>
      </c>
      <c r="D94" s="6" t="s">
        <v>17</v>
      </c>
      <c r="E94" s="6" t="s">
        <v>316</v>
      </c>
      <c r="F94" s="10">
        <v>38835</v>
      </c>
      <c r="G94" s="12">
        <v>29</v>
      </c>
      <c r="H94" s="8">
        <v>220820</v>
      </c>
      <c r="I94" s="6" t="str" cm="1">
        <f t="array" ref="I94">_xlfn.IFS(C94&gt;50,"50+",C94&gt;=30,"30-50",C94&lt;30,"Under 30")</f>
        <v>50+</v>
      </c>
      <c r="J94" s="6" t="str" cm="1">
        <f t="array" ref="J94">_xlfn.IFS(H94&gt;200000,"2 Lakhs +",H94&gt;=100000,"1-2 Lakhs",H94&lt;100000,"Below 1 Lakhs")</f>
        <v>2 Lakhs +</v>
      </c>
    </row>
    <row r="95" spans="1:10" x14ac:dyDescent="0.25">
      <c r="A95" s="12">
        <v>94</v>
      </c>
      <c r="B95" s="6">
        <v>4933</v>
      </c>
      <c r="C95" s="12">
        <v>31</v>
      </c>
      <c r="D95" s="6" t="s">
        <v>11</v>
      </c>
      <c r="E95" s="6" t="s">
        <v>317</v>
      </c>
      <c r="F95" s="10">
        <v>41629</v>
      </c>
      <c r="G95" s="12">
        <v>14</v>
      </c>
      <c r="H95" s="8">
        <v>118043</v>
      </c>
      <c r="I95" s="6" t="str" cm="1">
        <f t="array" ref="I95">_xlfn.IFS(C95&gt;50,"50+",C95&gt;=30,"30-50",C95&lt;30,"Under 30")</f>
        <v>30-50</v>
      </c>
      <c r="J95" s="6" t="str" cm="1">
        <f t="array" ref="J95">_xlfn.IFS(H95&gt;200000,"2 Lakhs +",H95&gt;=100000,"1-2 Lakhs",H95&lt;100000,"Below 1 Lakhs")</f>
        <v>1-2 Lakhs</v>
      </c>
    </row>
    <row r="96" spans="1:10" x14ac:dyDescent="0.25">
      <c r="A96" s="12">
        <v>95</v>
      </c>
      <c r="B96" s="6">
        <v>7374</v>
      </c>
      <c r="C96" s="12">
        <v>52</v>
      </c>
      <c r="D96" s="6" t="s">
        <v>13</v>
      </c>
      <c r="E96" s="6" t="s">
        <v>316</v>
      </c>
      <c r="F96" s="10">
        <v>39856</v>
      </c>
      <c r="G96" s="12">
        <v>27</v>
      </c>
      <c r="H96" s="8">
        <v>223315</v>
      </c>
      <c r="I96" s="6" t="str" cm="1">
        <f t="array" ref="I96">_xlfn.IFS(C96&gt;50,"50+",C96&gt;=30,"30-50",C96&lt;30,"Under 30")</f>
        <v>50+</v>
      </c>
      <c r="J96" s="6" t="str" cm="1">
        <f t="array" ref="J96">_xlfn.IFS(H96&gt;200000,"2 Lakhs +",H96&gt;=100000,"1-2 Lakhs",H96&lt;100000,"Below 1 Lakhs")</f>
        <v>2 Lakhs +</v>
      </c>
    </row>
    <row r="97" spans="1:10" x14ac:dyDescent="0.25">
      <c r="A97" s="12">
        <v>96</v>
      </c>
      <c r="B97" s="6">
        <v>1082</v>
      </c>
      <c r="C97" s="12">
        <v>61</v>
      </c>
      <c r="D97" s="6" t="s">
        <v>8</v>
      </c>
      <c r="E97" s="6" t="s">
        <v>317</v>
      </c>
      <c r="F97" s="10">
        <v>37988</v>
      </c>
      <c r="G97" s="12">
        <v>30</v>
      </c>
      <c r="H97" s="8">
        <v>246738</v>
      </c>
      <c r="I97" s="6" t="str" cm="1">
        <f t="array" ref="I97">_xlfn.IFS(C97&gt;50,"50+",C97&gt;=30,"30-50",C97&lt;30,"Under 30")</f>
        <v>50+</v>
      </c>
      <c r="J97" s="6" t="str" cm="1">
        <f t="array" ref="J97">_xlfn.IFS(H97&gt;200000,"2 Lakhs +",H97&gt;=100000,"1-2 Lakhs",H97&lt;100000,"Below 1 Lakhs")</f>
        <v>2 Lakhs +</v>
      </c>
    </row>
    <row r="98" spans="1:10" x14ac:dyDescent="0.25">
      <c r="A98" s="12">
        <v>97</v>
      </c>
      <c r="B98" s="6">
        <v>4204</v>
      </c>
      <c r="C98" s="12">
        <v>52</v>
      </c>
      <c r="D98" s="6" t="s">
        <v>8</v>
      </c>
      <c r="E98" s="6" t="s">
        <v>316</v>
      </c>
      <c r="F98" s="10">
        <v>43322</v>
      </c>
      <c r="G98" s="12">
        <v>24</v>
      </c>
      <c r="H98" s="8">
        <v>191082</v>
      </c>
      <c r="I98" s="6" t="str" cm="1">
        <f t="array" ref="I98">_xlfn.IFS(C98&gt;50,"50+",C98&gt;=30,"30-50",C98&lt;30,"Under 30")</f>
        <v>50+</v>
      </c>
      <c r="J98" s="6" t="str" cm="1">
        <f t="array" ref="J98">_xlfn.IFS(H98&gt;200000,"2 Lakhs +",H98&gt;=100000,"1-2 Lakhs",H98&lt;100000,"Below 1 Lakhs")</f>
        <v>1-2 Lakhs</v>
      </c>
    </row>
    <row r="99" spans="1:10" x14ac:dyDescent="0.25">
      <c r="A99" s="12">
        <v>98</v>
      </c>
      <c r="B99" s="6">
        <v>9015</v>
      </c>
      <c r="C99" s="12">
        <v>59</v>
      </c>
      <c r="D99" s="6" t="s">
        <v>8</v>
      </c>
      <c r="E99" s="6" t="s">
        <v>316</v>
      </c>
      <c r="F99" s="10">
        <v>42954</v>
      </c>
      <c r="G99" s="12">
        <v>28</v>
      </c>
      <c r="H99" s="8">
        <v>225302</v>
      </c>
      <c r="I99" s="6" t="str" cm="1">
        <f t="array" ref="I99">_xlfn.IFS(C99&gt;50,"50+",C99&gt;=30,"30-50",C99&lt;30,"Under 30")</f>
        <v>50+</v>
      </c>
      <c r="J99" s="6" t="str" cm="1">
        <f t="array" ref="J99">_xlfn.IFS(H99&gt;200000,"2 Lakhs +",H99&gt;=100000,"1-2 Lakhs",H99&lt;100000,"Below 1 Lakhs")</f>
        <v>2 Lakhs +</v>
      </c>
    </row>
    <row r="100" spans="1:10" x14ac:dyDescent="0.25">
      <c r="A100" s="12">
        <v>99</v>
      </c>
      <c r="B100" s="6">
        <v>1706</v>
      </c>
      <c r="C100" s="12">
        <v>40</v>
      </c>
      <c r="D100" s="6" t="s">
        <v>17</v>
      </c>
      <c r="E100" s="6" t="s">
        <v>316</v>
      </c>
      <c r="F100" s="10">
        <v>45187</v>
      </c>
      <c r="G100" s="12">
        <v>18</v>
      </c>
      <c r="H100" s="8">
        <v>142093</v>
      </c>
      <c r="I100" s="6" t="str" cm="1">
        <f t="array" ref="I100">_xlfn.IFS(C100&gt;50,"50+",C100&gt;=30,"30-50",C100&lt;30,"Under 30")</f>
        <v>30-50</v>
      </c>
      <c r="J100" s="6" t="str" cm="1">
        <f t="array" ref="J100">_xlfn.IFS(H100&gt;200000,"2 Lakhs +",H100&gt;=100000,"1-2 Lakhs",H100&lt;100000,"Below 1 Lakhs")</f>
        <v>1-2 Lakhs</v>
      </c>
    </row>
    <row r="101" spans="1:10" x14ac:dyDescent="0.25">
      <c r="A101" s="12">
        <v>100</v>
      </c>
      <c r="B101" s="6">
        <v>3873</v>
      </c>
      <c r="C101" s="12">
        <v>46</v>
      </c>
      <c r="D101" s="6" t="s">
        <v>17</v>
      </c>
      <c r="E101" s="6" t="s">
        <v>317</v>
      </c>
      <c r="F101" s="10">
        <v>38541</v>
      </c>
      <c r="G101" s="12">
        <v>19</v>
      </c>
      <c r="H101" s="8">
        <v>156162</v>
      </c>
      <c r="I101" s="6" t="str" cm="1">
        <f t="array" ref="I101">_xlfn.IFS(C101&gt;50,"50+",C101&gt;=30,"30-50",C101&lt;30,"Under 30")</f>
        <v>30-50</v>
      </c>
      <c r="J101" s="6" t="str" cm="1">
        <f t="array" ref="J101">_xlfn.IFS(H101&gt;200000,"2 Lakhs +",H101&gt;=100000,"1-2 Lakhs",H101&lt;100000,"Below 1 Lakhs")</f>
        <v>1-2 Lakhs</v>
      </c>
    </row>
    <row r="102" spans="1:10" x14ac:dyDescent="0.25">
      <c r="A102" s="12">
        <v>101</v>
      </c>
      <c r="B102" s="6">
        <v>3229</v>
      </c>
      <c r="C102" s="12">
        <v>35</v>
      </c>
      <c r="D102" s="6" t="s">
        <v>10</v>
      </c>
      <c r="E102" s="6" t="s">
        <v>317</v>
      </c>
      <c r="F102" s="10">
        <v>45670</v>
      </c>
      <c r="G102" s="12">
        <v>17</v>
      </c>
      <c r="H102" s="8">
        <v>134816</v>
      </c>
      <c r="I102" s="6" t="str" cm="1">
        <f t="array" ref="I102">_xlfn.IFS(C102&gt;50,"50+",C102&gt;=30,"30-50",C102&lt;30,"Under 30")</f>
        <v>30-50</v>
      </c>
      <c r="J102" s="6" t="str" cm="1">
        <f t="array" ref="J102">_xlfn.IFS(H102&gt;200000,"2 Lakhs +",H102&gt;=100000,"1-2 Lakhs",H102&lt;100000,"Below 1 Lakhs")</f>
        <v>1-2 Lakhs</v>
      </c>
    </row>
    <row r="103" spans="1:10" x14ac:dyDescent="0.25">
      <c r="A103" s="12">
        <v>102</v>
      </c>
      <c r="B103" s="6">
        <v>6665</v>
      </c>
      <c r="C103" s="12">
        <v>40</v>
      </c>
      <c r="D103" s="6" t="s">
        <v>13</v>
      </c>
      <c r="E103" s="6" t="s">
        <v>316</v>
      </c>
      <c r="F103" s="10">
        <v>31288</v>
      </c>
      <c r="G103" s="12">
        <v>15</v>
      </c>
      <c r="H103" s="8">
        <v>122745</v>
      </c>
      <c r="I103" s="6" t="str" cm="1">
        <f t="array" ref="I103">_xlfn.IFS(C103&gt;50,"50+",C103&gt;=30,"30-50",C103&lt;30,"Under 30")</f>
        <v>30-50</v>
      </c>
      <c r="J103" s="6" t="str" cm="1">
        <f t="array" ref="J103">_xlfn.IFS(H103&gt;200000,"2 Lakhs +",H103&gt;=100000,"1-2 Lakhs",H103&lt;100000,"Below 1 Lakhs")</f>
        <v>1-2 Lakhs</v>
      </c>
    </row>
    <row r="104" spans="1:10" x14ac:dyDescent="0.25">
      <c r="A104" s="12">
        <v>103</v>
      </c>
      <c r="B104" s="6">
        <v>4680</v>
      </c>
      <c r="C104" s="12">
        <v>40</v>
      </c>
      <c r="D104" s="6" t="s">
        <v>13</v>
      </c>
      <c r="E104" s="6" t="s">
        <v>317</v>
      </c>
      <c r="F104" s="10">
        <v>30839</v>
      </c>
      <c r="G104" s="12">
        <v>24</v>
      </c>
      <c r="H104" s="8">
        <v>186453</v>
      </c>
      <c r="I104" s="6" t="str" cm="1">
        <f t="array" ref="I104">_xlfn.IFS(C104&gt;50,"50+",C104&gt;=30,"30-50",C104&lt;30,"Under 30")</f>
        <v>30-50</v>
      </c>
      <c r="J104" s="6" t="str" cm="1">
        <f t="array" ref="J104">_xlfn.IFS(H104&gt;200000,"2 Lakhs +",H104&gt;=100000,"1-2 Lakhs",H104&lt;100000,"Below 1 Lakhs")</f>
        <v>1-2 Lakhs</v>
      </c>
    </row>
    <row r="105" spans="1:10" x14ac:dyDescent="0.25">
      <c r="A105" s="12">
        <v>104</v>
      </c>
      <c r="B105" s="6">
        <v>1002</v>
      </c>
      <c r="C105" s="12">
        <v>48</v>
      </c>
      <c r="D105" s="6" t="s">
        <v>17</v>
      </c>
      <c r="E105" s="6" t="s">
        <v>316</v>
      </c>
      <c r="F105" s="10">
        <v>41468</v>
      </c>
      <c r="G105" s="12">
        <v>25</v>
      </c>
      <c r="H105" s="8">
        <v>199561</v>
      </c>
      <c r="I105" s="6" t="str" cm="1">
        <f t="array" ref="I105">_xlfn.IFS(C105&gt;50,"50+",C105&gt;=30,"30-50",C105&lt;30,"Under 30")</f>
        <v>30-50</v>
      </c>
      <c r="J105" s="6" t="str" cm="1">
        <f t="array" ref="J105">_xlfn.IFS(H105&gt;200000,"2 Lakhs +",H105&gt;=100000,"1-2 Lakhs",H105&lt;100000,"Below 1 Lakhs")</f>
        <v>1-2 Lakhs</v>
      </c>
    </row>
    <row r="106" spans="1:10" x14ac:dyDescent="0.25">
      <c r="A106" s="12">
        <v>105</v>
      </c>
      <c r="B106" s="6">
        <v>1137</v>
      </c>
      <c r="C106" s="12">
        <v>54</v>
      </c>
      <c r="D106" s="6" t="s">
        <v>11</v>
      </c>
      <c r="E106" s="6" t="s">
        <v>317</v>
      </c>
      <c r="F106" s="10">
        <v>33349</v>
      </c>
      <c r="G106" s="12">
        <v>25</v>
      </c>
      <c r="H106" s="8">
        <v>204293</v>
      </c>
      <c r="I106" s="6" t="str" cm="1">
        <f t="array" ref="I106">_xlfn.IFS(C106&gt;50,"50+",C106&gt;=30,"30-50",C106&lt;30,"Under 30")</f>
        <v>50+</v>
      </c>
      <c r="J106" s="6" t="str" cm="1">
        <f t="array" ref="J106">_xlfn.IFS(H106&gt;200000,"2 Lakhs +",H106&gt;=100000,"1-2 Lakhs",H106&lt;100000,"Below 1 Lakhs")</f>
        <v>2 Lakhs +</v>
      </c>
    </row>
    <row r="107" spans="1:10" x14ac:dyDescent="0.25">
      <c r="A107" s="12">
        <v>106</v>
      </c>
      <c r="B107" s="6">
        <v>7922</v>
      </c>
      <c r="C107" s="12">
        <v>58</v>
      </c>
      <c r="D107" s="6" t="s">
        <v>13</v>
      </c>
      <c r="E107" s="6" t="s">
        <v>317</v>
      </c>
      <c r="F107" s="10">
        <v>27661</v>
      </c>
      <c r="G107" s="12">
        <v>30</v>
      </c>
      <c r="H107" s="8">
        <v>242531</v>
      </c>
      <c r="I107" s="6" t="str" cm="1">
        <f t="array" ref="I107">_xlfn.IFS(C107&gt;50,"50+",C107&gt;=30,"30-50",C107&lt;30,"Under 30")</f>
        <v>50+</v>
      </c>
      <c r="J107" s="6" t="str" cm="1">
        <f t="array" ref="J107">_xlfn.IFS(H107&gt;200000,"2 Lakhs +",H107&gt;=100000,"1-2 Lakhs",H107&lt;100000,"Below 1 Lakhs")</f>
        <v>2 Lakhs +</v>
      </c>
    </row>
    <row r="108" spans="1:10" x14ac:dyDescent="0.25">
      <c r="A108" s="12">
        <v>107</v>
      </c>
      <c r="B108" s="6">
        <v>3307</v>
      </c>
      <c r="C108" s="12">
        <v>25</v>
      </c>
      <c r="D108" s="6" t="s">
        <v>17</v>
      </c>
      <c r="E108" s="6" t="s">
        <v>317</v>
      </c>
      <c r="F108" s="10">
        <v>31903</v>
      </c>
      <c r="G108" s="12">
        <v>12</v>
      </c>
      <c r="H108" s="8">
        <v>103111</v>
      </c>
      <c r="I108" s="6" t="str" cm="1">
        <f t="array" ref="I108">_xlfn.IFS(C108&gt;50,"50+",C108&gt;=30,"30-50",C108&lt;30,"Under 30")</f>
        <v>Under 30</v>
      </c>
      <c r="J108" s="6" t="str" cm="1">
        <f t="array" ref="J108">_xlfn.IFS(H108&gt;200000,"2 Lakhs +",H108&gt;=100000,"1-2 Lakhs",H108&lt;100000,"Below 1 Lakhs")</f>
        <v>1-2 Lakhs</v>
      </c>
    </row>
    <row r="109" spans="1:10" x14ac:dyDescent="0.25">
      <c r="A109" s="12">
        <v>108</v>
      </c>
      <c r="B109" s="6">
        <v>8235</v>
      </c>
      <c r="C109" s="12">
        <v>53</v>
      </c>
      <c r="D109" s="6" t="s">
        <v>13</v>
      </c>
      <c r="E109" s="6" t="s">
        <v>317</v>
      </c>
      <c r="F109" s="10">
        <v>35608</v>
      </c>
      <c r="G109" s="12">
        <v>30</v>
      </c>
      <c r="H109" s="8">
        <v>237496</v>
      </c>
      <c r="I109" s="6" t="str" cm="1">
        <f t="array" ref="I109">_xlfn.IFS(C109&gt;50,"50+",C109&gt;=30,"30-50",C109&lt;30,"Under 30")</f>
        <v>50+</v>
      </c>
      <c r="J109" s="6" t="str" cm="1">
        <f t="array" ref="J109">_xlfn.IFS(H109&gt;200000,"2 Lakhs +",H109&gt;=100000,"1-2 Lakhs",H109&lt;100000,"Below 1 Lakhs")</f>
        <v>2 Lakhs +</v>
      </c>
    </row>
    <row r="110" spans="1:10" x14ac:dyDescent="0.25">
      <c r="A110" s="12">
        <v>109</v>
      </c>
      <c r="B110" s="6">
        <v>9113</v>
      </c>
      <c r="C110" s="12">
        <v>50</v>
      </c>
      <c r="D110" s="6" t="s">
        <v>10</v>
      </c>
      <c r="E110" s="6" t="s">
        <v>316</v>
      </c>
      <c r="F110" s="10">
        <v>44783</v>
      </c>
      <c r="G110" s="12">
        <v>24</v>
      </c>
      <c r="H110" s="8">
        <v>193765</v>
      </c>
      <c r="I110" s="6" t="str" cm="1">
        <f t="array" ref="I110">_xlfn.IFS(C110&gt;50,"50+",C110&gt;=30,"30-50",C110&lt;30,"Under 30")</f>
        <v>30-50</v>
      </c>
      <c r="J110" s="6" t="str" cm="1">
        <f t="array" ref="J110">_xlfn.IFS(H110&gt;200000,"2 Lakhs +",H110&gt;=100000,"1-2 Lakhs",H110&lt;100000,"Below 1 Lakhs")</f>
        <v>1-2 Lakhs</v>
      </c>
    </row>
    <row r="111" spans="1:10" x14ac:dyDescent="0.25">
      <c r="A111" s="12">
        <v>110</v>
      </c>
      <c r="B111" s="6">
        <v>6545</v>
      </c>
      <c r="C111" s="12">
        <v>63</v>
      </c>
      <c r="D111" s="6" t="s">
        <v>13</v>
      </c>
      <c r="E111" s="6" t="s">
        <v>316</v>
      </c>
      <c r="F111" s="10">
        <v>35389</v>
      </c>
      <c r="G111" s="12">
        <v>30</v>
      </c>
      <c r="H111" s="8">
        <v>240281</v>
      </c>
      <c r="I111" s="6" t="str" cm="1">
        <f t="array" ref="I111">_xlfn.IFS(C111&gt;50,"50+",C111&gt;=30,"30-50",C111&lt;30,"Under 30")</f>
        <v>50+</v>
      </c>
      <c r="J111" s="6" t="str" cm="1">
        <f t="array" ref="J111">_xlfn.IFS(H111&gt;200000,"2 Lakhs +",H111&gt;=100000,"1-2 Lakhs",H111&lt;100000,"Below 1 Lakhs")</f>
        <v>2 Lakhs +</v>
      </c>
    </row>
    <row r="112" spans="1:10" x14ac:dyDescent="0.25">
      <c r="A112" s="12">
        <v>111</v>
      </c>
      <c r="B112" s="6">
        <v>4987</v>
      </c>
      <c r="C112" s="12">
        <v>54</v>
      </c>
      <c r="D112" s="6" t="s">
        <v>8</v>
      </c>
      <c r="E112" s="6" t="s">
        <v>316</v>
      </c>
      <c r="F112" s="10">
        <v>28723</v>
      </c>
      <c r="G112" s="12">
        <v>22</v>
      </c>
      <c r="H112" s="8">
        <v>176659</v>
      </c>
      <c r="I112" s="6" t="str" cm="1">
        <f t="array" ref="I112">_xlfn.IFS(C112&gt;50,"50+",C112&gt;=30,"30-50",C112&lt;30,"Under 30")</f>
        <v>50+</v>
      </c>
      <c r="J112" s="6" t="str" cm="1">
        <f t="array" ref="J112">_xlfn.IFS(H112&gt;200000,"2 Lakhs +",H112&gt;=100000,"1-2 Lakhs",H112&lt;100000,"Below 1 Lakhs")</f>
        <v>1-2 Lakhs</v>
      </c>
    </row>
    <row r="113" spans="1:10" x14ac:dyDescent="0.25">
      <c r="A113" s="12">
        <v>112</v>
      </c>
      <c r="B113" s="6">
        <v>9111</v>
      </c>
      <c r="C113" s="12">
        <v>58</v>
      </c>
      <c r="D113" s="6" t="s">
        <v>17</v>
      </c>
      <c r="E113" s="6" t="s">
        <v>317</v>
      </c>
      <c r="F113" s="10">
        <v>31169</v>
      </c>
      <c r="G113" s="12">
        <v>30</v>
      </c>
      <c r="H113" s="8">
        <v>244973</v>
      </c>
      <c r="I113" s="6" t="str" cm="1">
        <f t="array" ref="I113">_xlfn.IFS(C113&gt;50,"50+",C113&gt;=30,"30-50",C113&lt;30,"Under 30")</f>
        <v>50+</v>
      </c>
      <c r="J113" s="6" t="str" cm="1">
        <f t="array" ref="J113">_xlfn.IFS(H113&gt;200000,"2 Lakhs +",H113&gt;=100000,"1-2 Lakhs",H113&lt;100000,"Below 1 Lakhs")</f>
        <v>2 Lakhs +</v>
      </c>
    </row>
    <row r="114" spans="1:10" x14ac:dyDescent="0.25">
      <c r="A114" s="12">
        <v>113</v>
      </c>
      <c r="B114" s="6">
        <v>1061</v>
      </c>
      <c r="C114" s="12">
        <v>37</v>
      </c>
      <c r="D114" s="6" t="s">
        <v>10</v>
      </c>
      <c r="E114" s="6" t="s">
        <v>316</v>
      </c>
      <c r="F114" s="10">
        <v>30961</v>
      </c>
      <c r="G114" s="12">
        <v>20</v>
      </c>
      <c r="H114" s="8">
        <v>160566</v>
      </c>
      <c r="I114" s="6" t="str" cm="1">
        <f t="array" ref="I114">_xlfn.IFS(C114&gt;50,"50+",C114&gt;=30,"30-50",C114&lt;30,"Under 30")</f>
        <v>30-50</v>
      </c>
      <c r="J114" s="6" t="str" cm="1">
        <f t="array" ref="J114">_xlfn.IFS(H114&gt;200000,"2 Lakhs +",H114&gt;=100000,"1-2 Lakhs",H114&lt;100000,"Below 1 Lakhs")</f>
        <v>1-2 Lakhs</v>
      </c>
    </row>
    <row r="115" spans="1:10" x14ac:dyDescent="0.25">
      <c r="A115" s="12">
        <v>114</v>
      </c>
      <c r="B115" s="6">
        <v>6101</v>
      </c>
      <c r="C115" s="12">
        <v>43</v>
      </c>
      <c r="D115" s="6" t="s">
        <v>17</v>
      </c>
      <c r="E115" s="6" t="s">
        <v>317</v>
      </c>
      <c r="F115" s="10">
        <v>39304</v>
      </c>
      <c r="G115" s="12">
        <v>23</v>
      </c>
      <c r="H115" s="8">
        <v>177312</v>
      </c>
      <c r="I115" s="6" t="str" cm="1">
        <f t="array" ref="I115">_xlfn.IFS(C115&gt;50,"50+",C115&gt;=30,"30-50",C115&lt;30,"Under 30")</f>
        <v>30-50</v>
      </c>
      <c r="J115" s="6" t="str" cm="1">
        <f t="array" ref="J115">_xlfn.IFS(H115&gt;200000,"2 Lakhs +",H115&gt;=100000,"1-2 Lakhs",H115&lt;100000,"Below 1 Lakhs")</f>
        <v>1-2 Lakhs</v>
      </c>
    </row>
    <row r="116" spans="1:10" x14ac:dyDescent="0.25">
      <c r="A116" s="12">
        <v>115</v>
      </c>
      <c r="B116" s="6">
        <v>5338</v>
      </c>
      <c r="C116" s="12">
        <v>24</v>
      </c>
      <c r="D116" s="6" t="s">
        <v>11</v>
      </c>
      <c r="E116" s="6" t="s">
        <v>316</v>
      </c>
      <c r="F116" s="10">
        <v>42588</v>
      </c>
      <c r="G116" s="12">
        <v>12</v>
      </c>
      <c r="H116" s="8">
        <v>92967</v>
      </c>
      <c r="I116" s="6" t="str" cm="1">
        <f t="array" ref="I116">_xlfn.IFS(C116&gt;50,"50+",C116&gt;=30,"30-50",C116&lt;30,"Under 30")</f>
        <v>Under 30</v>
      </c>
      <c r="J116" s="6" t="str" cm="1">
        <f t="array" ref="J116">_xlfn.IFS(H116&gt;200000,"2 Lakhs +",H116&gt;=100000,"1-2 Lakhs",H116&lt;100000,"Below 1 Lakhs")</f>
        <v>Below 1 Lakhs</v>
      </c>
    </row>
    <row r="117" spans="1:10" x14ac:dyDescent="0.25">
      <c r="A117" s="12">
        <v>116</v>
      </c>
      <c r="B117" s="6">
        <v>3697</v>
      </c>
      <c r="C117" s="12">
        <v>46</v>
      </c>
      <c r="D117" s="6" t="s">
        <v>11</v>
      </c>
      <c r="E117" s="6" t="s">
        <v>316</v>
      </c>
      <c r="F117" s="10">
        <v>37488</v>
      </c>
      <c r="G117" s="12">
        <v>25</v>
      </c>
      <c r="H117" s="8">
        <v>208044</v>
      </c>
      <c r="I117" s="6" t="str" cm="1">
        <f t="array" ref="I117">_xlfn.IFS(C117&gt;50,"50+",C117&gt;=30,"30-50",C117&lt;30,"Under 30")</f>
        <v>30-50</v>
      </c>
      <c r="J117" s="6" t="str" cm="1">
        <f t="array" ref="J117">_xlfn.IFS(H117&gt;200000,"2 Lakhs +",H117&gt;=100000,"1-2 Lakhs",H117&lt;100000,"Below 1 Lakhs")</f>
        <v>2 Lakhs +</v>
      </c>
    </row>
    <row r="118" spans="1:10" x14ac:dyDescent="0.25">
      <c r="A118" s="12">
        <v>117</v>
      </c>
      <c r="B118" s="6">
        <v>6704</v>
      </c>
      <c r="C118" s="12">
        <v>60</v>
      </c>
      <c r="D118" s="6" t="s">
        <v>8</v>
      </c>
      <c r="E118" s="6" t="s">
        <v>316</v>
      </c>
      <c r="F118" s="10">
        <v>40190</v>
      </c>
      <c r="G118" s="12">
        <v>29</v>
      </c>
      <c r="H118" s="8">
        <v>225723</v>
      </c>
      <c r="I118" s="6" t="str" cm="1">
        <f t="array" ref="I118">_xlfn.IFS(C118&gt;50,"50+",C118&gt;=30,"30-50",C118&lt;30,"Under 30")</f>
        <v>50+</v>
      </c>
      <c r="J118" s="6" t="str" cm="1">
        <f t="array" ref="J118">_xlfn.IFS(H118&gt;200000,"2 Lakhs +",H118&gt;=100000,"1-2 Lakhs",H118&lt;100000,"Below 1 Lakhs")</f>
        <v>2 Lakhs +</v>
      </c>
    </row>
    <row r="119" spans="1:10" x14ac:dyDescent="0.25">
      <c r="A119" s="12">
        <v>118</v>
      </c>
      <c r="B119" s="6">
        <v>1819</v>
      </c>
      <c r="C119" s="12">
        <v>61</v>
      </c>
      <c r="D119" s="6" t="s">
        <v>17</v>
      </c>
      <c r="E119" s="6" t="s">
        <v>316</v>
      </c>
      <c r="F119" s="10">
        <v>40944</v>
      </c>
      <c r="G119" s="12">
        <v>26</v>
      </c>
      <c r="H119" s="8">
        <v>208426</v>
      </c>
      <c r="I119" s="6" t="str" cm="1">
        <f t="array" ref="I119">_xlfn.IFS(C119&gt;50,"50+",C119&gt;=30,"30-50",C119&lt;30,"Under 30")</f>
        <v>50+</v>
      </c>
      <c r="J119" s="6" t="str" cm="1">
        <f t="array" ref="J119">_xlfn.IFS(H119&gt;200000,"2 Lakhs +",H119&gt;=100000,"1-2 Lakhs",H119&lt;100000,"Below 1 Lakhs")</f>
        <v>2 Lakhs +</v>
      </c>
    </row>
    <row r="120" spans="1:10" x14ac:dyDescent="0.25">
      <c r="A120" s="12">
        <v>119</v>
      </c>
      <c r="B120" s="6">
        <v>4425</v>
      </c>
      <c r="C120" s="12">
        <v>61</v>
      </c>
      <c r="D120" s="6" t="s">
        <v>17</v>
      </c>
      <c r="E120" s="6" t="s">
        <v>316</v>
      </c>
      <c r="F120" s="10">
        <v>28786</v>
      </c>
      <c r="G120" s="12">
        <v>35</v>
      </c>
      <c r="H120" s="8">
        <v>279946</v>
      </c>
      <c r="I120" s="6" t="str" cm="1">
        <f t="array" ref="I120">_xlfn.IFS(C120&gt;50,"50+",C120&gt;=30,"30-50",C120&lt;30,"Under 30")</f>
        <v>50+</v>
      </c>
      <c r="J120" s="6" t="str" cm="1">
        <f t="array" ref="J120">_xlfn.IFS(H120&gt;200000,"2 Lakhs +",H120&gt;=100000,"1-2 Lakhs",H120&lt;100000,"Below 1 Lakhs")</f>
        <v>2 Lakhs +</v>
      </c>
    </row>
    <row r="121" spans="1:10" x14ac:dyDescent="0.25">
      <c r="A121" s="12">
        <v>120</v>
      </c>
      <c r="B121" s="6">
        <v>2499</v>
      </c>
      <c r="C121" s="12">
        <v>29</v>
      </c>
      <c r="D121" s="6" t="s">
        <v>8</v>
      </c>
      <c r="E121" s="6" t="s">
        <v>317</v>
      </c>
      <c r="F121" s="10">
        <v>39014</v>
      </c>
      <c r="G121" s="12">
        <v>16</v>
      </c>
      <c r="H121" s="8">
        <v>129970</v>
      </c>
      <c r="I121" s="6" t="str" cm="1">
        <f t="array" ref="I121">_xlfn.IFS(C121&gt;50,"50+",C121&gt;=30,"30-50",C121&lt;30,"Under 30")</f>
        <v>Under 30</v>
      </c>
      <c r="J121" s="6" t="str" cm="1">
        <f t="array" ref="J121">_xlfn.IFS(H121&gt;200000,"2 Lakhs +",H121&gt;=100000,"1-2 Lakhs",H121&lt;100000,"Below 1 Lakhs")</f>
        <v>1-2 Lakhs</v>
      </c>
    </row>
    <row r="122" spans="1:10" x14ac:dyDescent="0.25">
      <c r="A122" s="12">
        <v>121</v>
      </c>
      <c r="B122" s="6">
        <v>4801</v>
      </c>
      <c r="C122" s="12">
        <v>54</v>
      </c>
      <c r="D122" s="6" t="s">
        <v>13</v>
      </c>
      <c r="E122" s="6" t="s">
        <v>316</v>
      </c>
      <c r="F122" s="10">
        <v>31147</v>
      </c>
      <c r="G122" s="12">
        <v>28</v>
      </c>
      <c r="H122" s="8">
        <v>225408</v>
      </c>
      <c r="I122" s="6" t="str" cm="1">
        <f t="array" ref="I122">_xlfn.IFS(C122&gt;50,"50+",C122&gt;=30,"30-50",C122&lt;30,"Under 30")</f>
        <v>50+</v>
      </c>
      <c r="J122" s="6" t="str" cm="1">
        <f t="array" ref="J122">_xlfn.IFS(H122&gt;200000,"2 Lakhs +",H122&gt;=100000,"1-2 Lakhs",H122&lt;100000,"Below 1 Lakhs")</f>
        <v>2 Lakhs +</v>
      </c>
    </row>
    <row r="123" spans="1:10" x14ac:dyDescent="0.25">
      <c r="A123" s="12">
        <v>122</v>
      </c>
      <c r="B123" s="6">
        <v>8001</v>
      </c>
      <c r="C123" s="12">
        <v>32</v>
      </c>
      <c r="D123" s="6" t="s">
        <v>17</v>
      </c>
      <c r="E123" s="6" t="s">
        <v>316</v>
      </c>
      <c r="F123" s="10">
        <v>38851</v>
      </c>
      <c r="G123" s="12">
        <v>16</v>
      </c>
      <c r="H123" s="8">
        <v>125760</v>
      </c>
      <c r="I123" s="6" t="str" cm="1">
        <f t="array" ref="I123">_xlfn.IFS(C123&gt;50,"50+",C123&gt;=30,"30-50",C123&lt;30,"Under 30")</f>
        <v>30-50</v>
      </c>
      <c r="J123" s="6" t="str" cm="1">
        <f t="array" ref="J123">_xlfn.IFS(H123&gt;200000,"2 Lakhs +",H123&gt;=100000,"1-2 Lakhs",H123&lt;100000,"Below 1 Lakhs")</f>
        <v>1-2 Lakhs</v>
      </c>
    </row>
    <row r="124" spans="1:10" x14ac:dyDescent="0.25">
      <c r="A124" s="12">
        <v>123</v>
      </c>
      <c r="B124" s="6">
        <v>5263</v>
      </c>
      <c r="C124" s="12">
        <v>28</v>
      </c>
      <c r="D124" s="6" t="s">
        <v>10</v>
      </c>
      <c r="E124" s="6" t="s">
        <v>317</v>
      </c>
      <c r="F124" s="10">
        <v>38841</v>
      </c>
      <c r="G124" s="12">
        <v>12</v>
      </c>
      <c r="H124" s="8">
        <v>92056</v>
      </c>
      <c r="I124" s="6" t="str" cm="1">
        <f t="array" ref="I124">_xlfn.IFS(C124&gt;50,"50+",C124&gt;=30,"30-50",C124&lt;30,"Under 30")</f>
        <v>Under 30</v>
      </c>
      <c r="J124" s="6" t="str" cm="1">
        <f t="array" ref="J124">_xlfn.IFS(H124&gt;200000,"2 Lakhs +",H124&gt;=100000,"1-2 Lakhs",H124&lt;100000,"Below 1 Lakhs")</f>
        <v>Below 1 Lakhs</v>
      </c>
    </row>
    <row r="125" spans="1:10" x14ac:dyDescent="0.25">
      <c r="A125" s="12">
        <v>124</v>
      </c>
      <c r="B125" s="6">
        <v>7486</v>
      </c>
      <c r="C125" s="12">
        <v>45</v>
      </c>
      <c r="D125" s="6" t="s">
        <v>17</v>
      </c>
      <c r="E125" s="6" t="s">
        <v>317</v>
      </c>
      <c r="F125" s="10">
        <v>43095</v>
      </c>
      <c r="G125" s="12">
        <v>23</v>
      </c>
      <c r="H125" s="8">
        <v>186546</v>
      </c>
      <c r="I125" s="6" t="str" cm="1">
        <f t="array" ref="I125">_xlfn.IFS(C125&gt;50,"50+",C125&gt;=30,"30-50",C125&lt;30,"Under 30")</f>
        <v>30-50</v>
      </c>
      <c r="J125" s="6" t="str" cm="1">
        <f t="array" ref="J125">_xlfn.IFS(H125&gt;200000,"2 Lakhs +",H125&gt;=100000,"1-2 Lakhs",H125&lt;100000,"Below 1 Lakhs")</f>
        <v>1-2 Lakhs</v>
      </c>
    </row>
    <row r="126" spans="1:10" x14ac:dyDescent="0.25">
      <c r="A126" s="12">
        <v>125</v>
      </c>
      <c r="B126" s="6">
        <v>3717</v>
      </c>
      <c r="C126" s="12">
        <v>58</v>
      </c>
      <c r="D126" s="6" t="s">
        <v>10</v>
      </c>
      <c r="E126" s="6" t="s">
        <v>316</v>
      </c>
      <c r="F126" s="10">
        <v>43957</v>
      </c>
      <c r="G126" s="12">
        <v>26</v>
      </c>
      <c r="H126" s="8">
        <v>215978</v>
      </c>
      <c r="I126" s="6" t="str" cm="1">
        <f t="array" ref="I126">_xlfn.IFS(C126&gt;50,"50+",C126&gt;=30,"30-50",C126&lt;30,"Under 30")</f>
        <v>50+</v>
      </c>
      <c r="J126" s="6" t="str" cm="1">
        <f t="array" ref="J126">_xlfn.IFS(H126&gt;200000,"2 Lakhs +",H126&gt;=100000,"1-2 Lakhs",H126&lt;100000,"Below 1 Lakhs")</f>
        <v>2 Lakhs +</v>
      </c>
    </row>
    <row r="127" spans="1:10" x14ac:dyDescent="0.25">
      <c r="A127" s="12">
        <v>126</v>
      </c>
      <c r="B127" s="6">
        <v>1861</v>
      </c>
      <c r="C127" s="12">
        <v>48</v>
      </c>
      <c r="D127" s="6" t="s">
        <v>11</v>
      </c>
      <c r="E127" s="6" t="s">
        <v>317</v>
      </c>
      <c r="F127" s="10">
        <v>28952</v>
      </c>
      <c r="G127" s="12">
        <v>25</v>
      </c>
      <c r="H127" s="8">
        <v>185892</v>
      </c>
      <c r="I127" s="6" t="str" cm="1">
        <f t="array" ref="I127">_xlfn.IFS(C127&gt;50,"50+",C127&gt;=30,"30-50",C127&lt;30,"Under 30")</f>
        <v>30-50</v>
      </c>
      <c r="J127" s="6" t="str" cm="1">
        <f t="array" ref="J127">_xlfn.IFS(H127&gt;200000,"2 Lakhs +",H127&gt;=100000,"1-2 Lakhs",H127&lt;100000,"Below 1 Lakhs")</f>
        <v>1-2 Lakhs</v>
      </c>
    </row>
    <row r="128" spans="1:10" x14ac:dyDescent="0.25">
      <c r="A128" s="12">
        <v>127</v>
      </c>
      <c r="B128" s="6">
        <v>1204</v>
      </c>
      <c r="C128" s="12">
        <v>40</v>
      </c>
      <c r="D128" s="6" t="s">
        <v>13</v>
      </c>
      <c r="E128" s="6" t="s">
        <v>316</v>
      </c>
      <c r="F128" s="10">
        <v>29902</v>
      </c>
      <c r="G128" s="12">
        <v>21</v>
      </c>
      <c r="H128" s="8">
        <v>158986</v>
      </c>
      <c r="I128" s="6" t="str" cm="1">
        <f t="array" ref="I128">_xlfn.IFS(C128&gt;50,"50+",C128&gt;=30,"30-50",C128&lt;30,"Under 30")</f>
        <v>30-50</v>
      </c>
      <c r="J128" s="6" t="str" cm="1">
        <f t="array" ref="J128">_xlfn.IFS(H128&gt;200000,"2 Lakhs +",H128&gt;=100000,"1-2 Lakhs",H128&lt;100000,"Below 1 Lakhs")</f>
        <v>1-2 Lakhs</v>
      </c>
    </row>
    <row r="129" spans="1:10" x14ac:dyDescent="0.25">
      <c r="A129" s="12">
        <v>128</v>
      </c>
      <c r="B129" s="6">
        <v>8608</v>
      </c>
      <c r="C129" s="12">
        <v>55</v>
      </c>
      <c r="D129" s="6" t="s">
        <v>8</v>
      </c>
      <c r="E129" s="6" t="s">
        <v>317</v>
      </c>
      <c r="F129" s="10">
        <v>43164</v>
      </c>
      <c r="G129" s="12">
        <v>26</v>
      </c>
      <c r="H129" s="8">
        <v>202823</v>
      </c>
      <c r="I129" s="6" t="str" cm="1">
        <f t="array" ref="I129">_xlfn.IFS(C129&gt;50,"50+",C129&gt;=30,"30-50",C129&lt;30,"Under 30")</f>
        <v>50+</v>
      </c>
      <c r="J129" s="6" t="str" cm="1">
        <f t="array" ref="J129">_xlfn.IFS(H129&gt;200000,"2 Lakhs +",H129&gt;=100000,"1-2 Lakhs",H129&lt;100000,"Below 1 Lakhs")</f>
        <v>2 Lakhs +</v>
      </c>
    </row>
    <row r="130" spans="1:10" x14ac:dyDescent="0.25">
      <c r="A130" s="12">
        <v>129</v>
      </c>
      <c r="B130" s="6">
        <v>9278</v>
      </c>
      <c r="C130" s="12">
        <v>56</v>
      </c>
      <c r="D130" s="6" t="s">
        <v>13</v>
      </c>
      <c r="E130" s="6" t="s">
        <v>316</v>
      </c>
      <c r="F130" s="10">
        <v>30923</v>
      </c>
      <c r="G130" s="12">
        <v>25</v>
      </c>
      <c r="H130" s="8">
        <v>198549</v>
      </c>
      <c r="I130" s="6" t="str" cm="1">
        <f t="array" ref="I130">_xlfn.IFS(C130&gt;50,"50+",C130&gt;=30,"30-50",C130&lt;30,"Under 30")</f>
        <v>50+</v>
      </c>
      <c r="J130" s="6" t="str" cm="1">
        <f t="array" ref="J130">_xlfn.IFS(H130&gt;200000,"2 Lakhs +",H130&gt;=100000,"1-2 Lakhs",H130&lt;100000,"Below 1 Lakhs")</f>
        <v>1-2 Lakhs</v>
      </c>
    </row>
    <row r="131" spans="1:10" x14ac:dyDescent="0.25">
      <c r="A131" s="12">
        <v>130</v>
      </c>
      <c r="B131" s="6">
        <v>1084</v>
      </c>
      <c r="C131" s="12">
        <v>32</v>
      </c>
      <c r="D131" s="6" t="s">
        <v>10</v>
      </c>
      <c r="E131" s="6" t="s">
        <v>317</v>
      </c>
      <c r="F131" s="10">
        <v>43210</v>
      </c>
      <c r="G131" s="12">
        <v>17</v>
      </c>
      <c r="H131" s="8">
        <v>142300</v>
      </c>
      <c r="I131" s="6" t="str" cm="1">
        <f t="array" ref="I131">_xlfn.IFS(C131&gt;50,"50+",C131&gt;=30,"30-50",C131&lt;30,"Under 30")</f>
        <v>30-50</v>
      </c>
      <c r="J131" s="6" t="str" cm="1">
        <f t="array" ref="J131">_xlfn.IFS(H131&gt;200000,"2 Lakhs +",H131&gt;=100000,"1-2 Lakhs",H131&lt;100000,"Below 1 Lakhs")</f>
        <v>1-2 Lakhs</v>
      </c>
    </row>
    <row r="132" spans="1:10" x14ac:dyDescent="0.25">
      <c r="A132" s="12">
        <v>131</v>
      </c>
      <c r="B132" s="6">
        <v>3305</v>
      </c>
      <c r="C132" s="12">
        <v>63</v>
      </c>
      <c r="D132" s="6" t="s">
        <v>17</v>
      </c>
      <c r="E132" s="6" t="s">
        <v>317</v>
      </c>
      <c r="F132" s="10">
        <v>42630</v>
      </c>
      <c r="G132" s="12">
        <v>29</v>
      </c>
      <c r="H132" s="8">
        <v>232577</v>
      </c>
      <c r="I132" s="6" t="str" cm="1">
        <f t="array" ref="I132">_xlfn.IFS(C132&gt;50,"50+",C132&gt;=30,"30-50",C132&lt;30,"Under 30")</f>
        <v>50+</v>
      </c>
      <c r="J132" s="6" t="str" cm="1">
        <f t="array" ref="J132">_xlfn.IFS(H132&gt;200000,"2 Lakhs +",H132&gt;=100000,"1-2 Lakhs",H132&lt;100000,"Below 1 Lakhs")</f>
        <v>2 Lakhs +</v>
      </c>
    </row>
    <row r="133" spans="1:10" x14ac:dyDescent="0.25">
      <c r="A133" s="12">
        <v>132</v>
      </c>
      <c r="B133" s="6">
        <v>1262</v>
      </c>
      <c r="C133" s="12">
        <v>49</v>
      </c>
      <c r="D133" s="6" t="s">
        <v>8</v>
      </c>
      <c r="E133" s="6" t="s">
        <v>317</v>
      </c>
      <c r="F133" s="10">
        <v>37743</v>
      </c>
      <c r="G133" s="12">
        <v>24</v>
      </c>
      <c r="H133" s="8">
        <v>196293</v>
      </c>
      <c r="I133" s="6" t="str" cm="1">
        <f t="array" ref="I133">_xlfn.IFS(C133&gt;50,"50+",C133&gt;=30,"30-50",C133&lt;30,"Under 30")</f>
        <v>30-50</v>
      </c>
      <c r="J133" s="6" t="str" cm="1">
        <f t="array" ref="J133">_xlfn.IFS(H133&gt;200000,"2 Lakhs +",H133&gt;=100000,"1-2 Lakhs",H133&lt;100000,"Below 1 Lakhs")</f>
        <v>1-2 Lakhs</v>
      </c>
    </row>
    <row r="134" spans="1:10" x14ac:dyDescent="0.25">
      <c r="A134" s="12">
        <v>133</v>
      </c>
      <c r="B134" s="6">
        <v>2478</v>
      </c>
      <c r="C134" s="12">
        <v>40</v>
      </c>
      <c r="D134" s="6" t="s">
        <v>11</v>
      </c>
      <c r="E134" s="6" t="s">
        <v>316</v>
      </c>
      <c r="F134" s="10">
        <v>40333</v>
      </c>
      <c r="G134" s="12">
        <v>23</v>
      </c>
      <c r="H134" s="8">
        <v>185268</v>
      </c>
      <c r="I134" s="6" t="str" cm="1">
        <f t="array" ref="I134">_xlfn.IFS(C134&gt;50,"50+",C134&gt;=30,"30-50",C134&lt;30,"Under 30")</f>
        <v>30-50</v>
      </c>
      <c r="J134" s="6" t="str" cm="1">
        <f t="array" ref="J134">_xlfn.IFS(H134&gt;200000,"2 Lakhs +",H134&gt;=100000,"1-2 Lakhs",H134&lt;100000,"Below 1 Lakhs")</f>
        <v>1-2 Lakhs</v>
      </c>
    </row>
    <row r="135" spans="1:10" x14ac:dyDescent="0.25">
      <c r="A135" s="12">
        <v>134</v>
      </c>
      <c r="B135" s="6">
        <v>4357</v>
      </c>
      <c r="C135" s="12">
        <v>41</v>
      </c>
      <c r="D135" s="6" t="s">
        <v>8</v>
      </c>
      <c r="E135" s="6" t="s">
        <v>316</v>
      </c>
      <c r="F135" s="10">
        <v>42834</v>
      </c>
      <c r="G135" s="12">
        <v>20</v>
      </c>
      <c r="H135" s="8">
        <v>166636</v>
      </c>
      <c r="I135" s="6" t="str" cm="1">
        <f t="array" ref="I135">_xlfn.IFS(C135&gt;50,"50+",C135&gt;=30,"30-50",C135&lt;30,"Under 30")</f>
        <v>30-50</v>
      </c>
      <c r="J135" s="6" t="str" cm="1">
        <f t="array" ref="J135">_xlfn.IFS(H135&gt;200000,"2 Lakhs +",H135&gt;=100000,"1-2 Lakhs",H135&lt;100000,"Below 1 Lakhs")</f>
        <v>1-2 Lakhs</v>
      </c>
    </row>
    <row r="136" spans="1:10" x14ac:dyDescent="0.25">
      <c r="A136" s="12">
        <v>135</v>
      </c>
      <c r="B136" s="6">
        <v>1802</v>
      </c>
      <c r="C136" s="12">
        <v>22</v>
      </c>
      <c r="D136" s="6" t="s">
        <v>8</v>
      </c>
      <c r="E136" s="6" t="s">
        <v>316</v>
      </c>
      <c r="F136" s="10">
        <v>32638</v>
      </c>
      <c r="G136" s="12">
        <v>12</v>
      </c>
      <c r="H136" s="8">
        <v>94300</v>
      </c>
      <c r="I136" s="6" t="str" cm="1">
        <f t="array" ref="I136">_xlfn.IFS(C136&gt;50,"50+",C136&gt;=30,"30-50",C136&lt;30,"Under 30")</f>
        <v>Under 30</v>
      </c>
      <c r="J136" s="6" t="str" cm="1">
        <f t="array" ref="J136">_xlfn.IFS(H136&gt;200000,"2 Lakhs +",H136&gt;=100000,"1-2 Lakhs",H136&lt;100000,"Below 1 Lakhs")</f>
        <v>Below 1 Lakhs</v>
      </c>
    </row>
    <row r="137" spans="1:10" x14ac:dyDescent="0.25">
      <c r="A137" s="12">
        <v>136</v>
      </c>
      <c r="B137" s="6">
        <v>4666</v>
      </c>
      <c r="C137" s="12">
        <v>49</v>
      </c>
      <c r="D137" s="6" t="s">
        <v>11</v>
      </c>
      <c r="E137" s="6" t="s">
        <v>317</v>
      </c>
      <c r="F137" s="10">
        <v>41858</v>
      </c>
      <c r="G137" s="12">
        <v>25</v>
      </c>
      <c r="H137" s="8">
        <v>198827</v>
      </c>
      <c r="I137" s="6" t="str" cm="1">
        <f t="array" ref="I137">_xlfn.IFS(C137&gt;50,"50+",C137&gt;=30,"30-50",C137&lt;30,"Under 30")</f>
        <v>30-50</v>
      </c>
      <c r="J137" s="6" t="str" cm="1">
        <f t="array" ref="J137">_xlfn.IFS(H137&gt;200000,"2 Lakhs +",H137&gt;=100000,"1-2 Lakhs",H137&lt;100000,"Below 1 Lakhs")</f>
        <v>1-2 Lakhs</v>
      </c>
    </row>
    <row r="138" spans="1:10" x14ac:dyDescent="0.25">
      <c r="A138" s="12">
        <v>137</v>
      </c>
      <c r="B138" s="6">
        <v>7327</v>
      </c>
      <c r="C138" s="12">
        <v>44</v>
      </c>
      <c r="D138" s="6" t="s">
        <v>8</v>
      </c>
      <c r="E138" s="6" t="s">
        <v>317</v>
      </c>
      <c r="F138" s="10">
        <v>30401</v>
      </c>
      <c r="G138" s="12">
        <v>25</v>
      </c>
      <c r="H138" s="8">
        <v>190600</v>
      </c>
      <c r="I138" s="6" t="str" cm="1">
        <f t="array" ref="I138">_xlfn.IFS(C138&gt;50,"50+",C138&gt;=30,"30-50",C138&lt;30,"Under 30")</f>
        <v>30-50</v>
      </c>
      <c r="J138" s="6" t="str" cm="1">
        <f t="array" ref="J138">_xlfn.IFS(H138&gt;200000,"2 Lakhs +",H138&gt;=100000,"1-2 Lakhs",H138&lt;100000,"Below 1 Lakhs")</f>
        <v>1-2 Lakhs</v>
      </c>
    </row>
    <row r="139" spans="1:10" x14ac:dyDescent="0.25">
      <c r="A139" s="12">
        <v>138</v>
      </c>
      <c r="B139" s="6">
        <v>5722</v>
      </c>
      <c r="C139" s="12">
        <v>43</v>
      </c>
      <c r="D139" s="6" t="s">
        <v>13</v>
      </c>
      <c r="E139" s="6" t="s">
        <v>317</v>
      </c>
      <c r="F139" s="10">
        <v>30553</v>
      </c>
      <c r="G139" s="12">
        <v>24</v>
      </c>
      <c r="H139" s="8">
        <v>187430</v>
      </c>
      <c r="I139" s="6" t="str" cm="1">
        <f t="array" ref="I139">_xlfn.IFS(C139&gt;50,"50+",C139&gt;=30,"30-50",C139&lt;30,"Under 30")</f>
        <v>30-50</v>
      </c>
      <c r="J139" s="6" t="str" cm="1">
        <f t="array" ref="J139">_xlfn.IFS(H139&gt;200000,"2 Lakhs +",H139&gt;=100000,"1-2 Lakhs",H139&lt;100000,"Below 1 Lakhs")</f>
        <v>1-2 Lakhs</v>
      </c>
    </row>
    <row r="140" spans="1:10" x14ac:dyDescent="0.25">
      <c r="A140" s="12">
        <v>139</v>
      </c>
      <c r="B140" s="6">
        <v>8172</v>
      </c>
      <c r="C140" s="12">
        <v>45</v>
      </c>
      <c r="D140" s="6" t="s">
        <v>8</v>
      </c>
      <c r="E140" s="6" t="s">
        <v>316</v>
      </c>
      <c r="F140" s="10">
        <v>41746</v>
      </c>
      <c r="G140" s="12">
        <v>21</v>
      </c>
      <c r="H140" s="8">
        <v>166573</v>
      </c>
      <c r="I140" s="6" t="str" cm="1">
        <f t="array" ref="I140">_xlfn.IFS(C140&gt;50,"50+",C140&gt;=30,"30-50",C140&lt;30,"Under 30")</f>
        <v>30-50</v>
      </c>
      <c r="J140" s="6" t="str" cm="1">
        <f t="array" ref="J140">_xlfn.IFS(H140&gt;200000,"2 Lakhs +",H140&gt;=100000,"1-2 Lakhs",H140&lt;100000,"Below 1 Lakhs")</f>
        <v>1-2 Lakhs</v>
      </c>
    </row>
    <row r="141" spans="1:10" x14ac:dyDescent="0.25">
      <c r="A141" s="12">
        <v>140</v>
      </c>
      <c r="B141" s="6">
        <v>2391</v>
      </c>
      <c r="C141" s="12">
        <v>49</v>
      </c>
      <c r="D141" s="6" t="s">
        <v>13</v>
      </c>
      <c r="E141" s="6" t="s">
        <v>317</v>
      </c>
      <c r="F141" s="10">
        <v>33181</v>
      </c>
      <c r="G141" s="12">
        <v>22</v>
      </c>
      <c r="H141" s="8">
        <v>176961</v>
      </c>
      <c r="I141" s="6" t="str" cm="1">
        <f t="array" ref="I141">_xlfn.IFS(C141&gt;50,"50+",C141&gt;=30,"30-50",C141&lt;30,"Under 30")</f>
        <v>30-50</v>
      </c>
      <c r="J141" s="6" t="str" cm="1">
        <f t="array" ref="J141">_xlfn.IFS(H141&gt;200000,"2 Lakhs +",H141&gt;=100000,"1-2 Lakhs",H141&lt;100000,"Below 1 Lakhs")</f>
        <v>1-2 Lakhs</v>
      </c>
    </row>
    <row r="142" spans="1:10" x14ac:dyDescent="0.25">
      <c r="A142" s="12">
        <v>141</v>
      </c>
      <c r="B142" s="6">
        <v>3536</v>
      </c>
      <c r="C142" s="12">
        <v>54</v>
      </c>
      <c r="D142" s="6" t="s">
        <v>17</v>
      </c>
      <c r="E142" s="6" t="s">
        <v>317</v>
      </c>
      <c r="F142" s="10">
        <v>39501</v>
      </c>
      <c r="G142" s="12">
        <v>25</v>
      </c>
      <c r="H142" s="8">
        <v>206014</v>
      </c>
      <c r="I142" s="6" t="str" cm="1">
        <f t="array" ref="I142">_xlfn.IFS(C142&gt;50,"50+",C142&gt;=30,"30-50",C142&lt;30,"Under 30")</f>
        <v>50+</v>
      </c>
      <c r="J142" s="6" t="str" cm="1">
        <f t="array" ref="J142">_xlfn.IFS(H142&gt;200000,"2 Lakhs +",H142&gt;=100000,"1-2 Lakhs",H142&lt;100000,"Below 1 Lakhs")</f>
        <v>2 Lakhs +</v>
      </c>
    </row>
    <row r="143" spans="1:10" x14ac:dyDescent="0.25">
      <c r="A143" s="12">
        <v>142</v>
      </c>
      <c r="B143" s="6">
        <v>7770</v>
      </c>
      <c r="C143" s="12">
        <v>43</v>
      </c>
      <c r="D143" s="6" t="s">
        <v>10</v>
      </c>
      <c r="E143" s="6" t="s">
        <v>317</v>
      </c>
      <c r="F143" s="10">
        <v>27694</v>
      </c>
      <c r="G143" s="12">
        <v>21</v>
      </c>
      <c r="H143" s="8">
        <v>167653</v>
      </c>
      <c r="I143" s="6" t="str" cm="1">
        <f t="array" ref="I143">_xlfn.IFS(C143&gt;50,"50+",C143&gt;=30,"30-50",C143&lt;30,"Under 30")</f>
        <v>30-50</v>
      </c>
      <c r="J143" s="6" t="str" cm="1">
        <f t="array" ref="J143">_xlfn.IFS(H143&gt;200000,"2 Lakhs +",H143&gt;=100000,"1-2 Lakhs",H143&lt;100000,"Below 1 Lakhs")</f>
        <v>1-2 Lakhs</v>
      </c>
    </row>
    <row r="144" spans="1:10" x14ac:dyDescent="0.25">
      <c r="A144" s="12">
        <v>143</v>
      </c>
      <c r="B144" s="6">
        <v>1571</v>
      </c>
      <c r="C144" s="12">
        <v>34</v>
      </c>
      <c r="D144" s="6" t="s">
        <v>17</v>
      </c>
      <c r="E144" s="6" t="s">
        <v>316</v>
      </c>
      <c r="F144" s="10">
        <v>37686</v>
      </c>
      <c r="G144" s="12">
        <v>17</v>
      </c>
      <c r="H144" s="8">
        <v>138491</v>
      </c>
      <c r="I144" s="6" t="str" cm="1">
        <f t="array" ref="I144">_xlfn.IFS(C144&gt;50,"50+",C144&gt;=30,"30-50",C144&lt;30,"Under 30")</f>
        <v>30-50</v>
      </c>
      <c r="J144" s="6" t="str" cm="1">
        <f t="array" ref="J144">_xlfn.IFS(H144&gt;200000,"2 Lakhs +",H144&gt;=100000,"1-2 Lakhs",H144&lt;100000,"Below 1 Lakhs")</f>
        <v>1-2 Lakhs</v>
      </c>
    </row>
    <row r="145" spans="1:10" x14ac:dyDescent="0.25">
      <c r="A145" s="12">
        <v>144</v>
      </c>
      <c r="B145" s="6">
        <v>2558</v>
      </c>
      <c r="C145" s="12">
        <v>29</v>
      </c>
      <c r="D145" s="6" t="s">
        <v>11</v>
      </c>
      <c r="E145" s="6" t="s">
        <v>317</v>
      </c>
      <c r="F145" s="10">
        <v>27772</v>
      </c>
      <c r="G145" s="12">
        <v>14</v>
      </c>
      <c r="H145" s="8">
        <v>113663</v>
      </c>
      <c r="I145" s="6" t="str" cm="1">
        <f t="array" ref="I145">_xlfn.IFS(C145&gt;50,"50+",C145&gt;=30,"30-50",C145&lt;30,"Under 30")</f>
        <v>Under 30</v>
      </c>
      <c r="J145" s="6" t="str" cm="1">
        <f t="array" ref="J145">_xlfn.IFS(H145&gt;200000,"2 Lakhs +",H145&gt;=100000,"1-2 Lakhs",H145&lt;100000,"Below 1 Lakhs")</f>
        <v>1-2 Lakhs</v>
      </c>
    </row>
    <row r="146" spans="1:10" x14ac:dyDescent="0.25">
      <c r="A146" s="12">
        <v>145</v>
      </c>
      <c r="B146" s="6">
        <v>1197</v>
      </c>
      <c r="C146" s="12">
        <v>57</v>
      </c>
      <c r="D146" s="6" t="s">
        <v>10</v>
      </c>
      <c r="E146" s="6" t="s">
        <v>317</v>
      </c>
      <c r="F146" s="10">
        <v>38839</v>
      </c>
      <c r="G146" s="12">
        <v>25</v>
      </c>
      <c r="H146" s="8">
        <v>195286</v>
      </c>
      <c r="I146" s="6" t="str" cm="1">
        <f t="array" ref="I146">_xlfn.IFS(C146&gt;50,"50+",C146&gt;=30,"30-50",C146&lt;30,"Under 30")</f>
        <v>50+</v>
      </c>
      <c r="J146" s="6" t="str" cm="1">
        <f t="array" ref="J146">_xlfn.IFS(H146&gt;200000,"2 Lakhs +",H146&gt;=100000,"1-2 Lakhs",H146&lt;100000,"Below 1 Lakhs")</f>
        <v>1-2 Lakhs</v>
      </c>
    </row>
    <row r="147" spans="1:10" x14ac:dyDescent="0.25">
      <c r="A147" s="12">
        <v>146</v>
      </c>
      <c r="B147" s="6">
        <v>4842</v>
      </c>
      <c r="C147" s="12">
        <v>55</v>
      </c>
      <c r="D147" s="6" t="s">
        <v>10</v>
      </c>
      <c r="E147" s="6" t="s">
        <v>317</v>
      </c>
      <c r="F147" s="10">
        <v>35883</v>
      </c>
      <c r="G147" s="12">
        <v>27</v>
      </c>
      <c r="H147" s="8">
        <v>215637</v>
      </c>
      <c r="I147" s="6" t="str" cm="1">
        <f t="array" ref="I147">_xlfn.IFS(C147&gt;50,"50+",C147&gt;=30,"30-50",C147&lt;30,"Under 30")</f>
        <v>50+</v>
      </c>
      <c r="J147" s="6" t="str" cm="1">
        <f t="array" ref="J147">_xlfn.IFS(H147&gt;200000,"2 Lakhs +",H147&gt;=100000,"1-2 Lakhs",H147&lt;100000,"Below 1 Lakhs")</f>
        <v>2 Lakhs +</v>
      </c>
    </row>
    <row r="148" spans="1:10" x14ac:dyDescent="0.25">
      <c r="A148" s="12">
        <v>147</v>
      </c>
      <c r="B148" s="6">
        <v>1809</v>
      </c>
      <c r="C148" s="12">
        <v>43</v>
      </c>
      <c r="D148" s="6" t="s">
        <v>8</v>
      </c>
      <c r="E148" s="6" t="s">
        <v>317</v>
      </c>
      <c r="F148" s="10">
        <v>37078</v>
      </c>
      <c r="G148" s="12">
        <v>21</v>
      </c>
      <c r="H148" s="8">
        <v>170164</v>
      </c>
      <c r="I148" s="6" t="str" cm="1">
        <f t="array" ref="I148">_xlfn.IFS(C148&gt;50,"50+",C148&gt;=30,"30-50",C148&lt;30,"Under 30")</f>
        <v>30-50</v>
      </c>
      <c r="J148" s="6" t="str" cm="1">
        <f t="array" ref="J148">_xlfn.IFS(H148&gt;200000,"2 Lakhs +",H148&gt;=100000,"1-2 Lakhs",H148&lt;100000,"Below 1 Lakhs")</f>
        <v>1-2 Lakhs</v>
      </c>
    </row>
    <row r="149" spans="1:10" x14ac:dyDescent="0.25">
      <c r="A149" s="12">
        <v>148</v>
      </c>
      <c r="B149" s="6">
        <v>2304</v>
      </c>
      <c r="C149" s="12">
        <v>57</v>
      </c>
      <c r="D149" s="6" t="s">
        <v>11</v>
      </c>
      <c r="E149" s="6" t="s">
        <v>316</v>
      </c>
      <c r="F149" s="10">
        <v>33494</v>
      </c>
      <c r="G149" s="12">
        <v>30</v>
      </c>
      <c r="H149" s="8">
        <v>240851</v>
      </c>
      <c r="I149" s="6" t="str" cm="1">
        <f t="array" ref="I149">_xlfn.IFS(C149&gt;50,"50+",C149&gt;=30,"30-50",C149&lt;30,"Under 30")</f>
        <v>50+</v>
      </c>
      <c r="J149" s="6" t="str" cm="1">
        <f t="array" ref="J149">_xlfn.IFS(H149&gt;200000,"2 Lakhs +",H149&gt;=100000,"1-2 Lakhs",H149&lt;100000,"Below 1 Lakhs")</f>
        <v>2 Lakhs +</v>
      </c>
    </row>
    <row r="150" spans="1:10" x14ac:dyDescent="0.25">
      <c r="A150" s="12">
        <v>149</v>
      </c>
      <c r="B150" s="6">
        <v>2759</v>
      </c>
      <c r="C150" s="12">
        <v>24</v>
      </c>
      <c r="D150" s="6" t="s">
        <v>17</v>
      </c>
      <c r="E150" s="6" t="s">
        <v>316</v>
      </c>
      <c r="F150" s="10">
        <v>43082</v>
      </c>
      <c r="G150" s="12">
        <v>9</v>
      </c>
      <c r="H150" s="8">
        <v>78650</v>
      </c>
      <c r="I150" s="6" t="str" cm="1">
        <f t="array" ref="I150">_xlfn.IFS(C150&gt;50,"50+",C150&gt;=30,"30-50",C150&lt;30,"Under 30")</f>
        <v>Under 30</v>
      </c>
      <c r="J150" s="6" t="str" cm="1">
        <f t="array" ref="J150">_xlfn.IFS(H150&gt;200000,"2 Lakhs +",H150&gt;=100000,"1-2 Lakhs",H150&lt;100000,"Below 1 Lakhs")</f>
        <v>Below 1 Lakhs</v>
      </c>
    </row>
    <row r="151" spans="1:10" x14ac:dyDescent="0.25">
      <c r="A151" s="12">
        <v>150</v>
      </c>
      <c r="B151" s="6">
        <v>8278</v>
      </c>
      <c r="C151" s="12">
        <v>25</v>
      </c>
      <c r="D151" s="6" t="s">
        <v>10</v>
      </c>
      <c r="E151" s="6" t="s">
        <v>317</v>
      </c>
      <c r="F151" s="10">
        <v>30936</v>
      </c>
      <c r="G151" s="12">
        <v>13</v>
      </c>
      <c r="H151" s="8">
        <v>101767</v>
      </c>
      <c r="I151" s="6" t="str" cm="1">
        <f t="array" ref="I151">_xlfn.IFS(C151&gt;50,"50+",C151&gt;=30,"30-50",C151&lt;30,"Under 30")</f>
        <v>Under 30</v>
      </c>
      <c r="J151" s="6" t="str" cm="1">
        <f t="array" ref="J151">_xlfn.IFS(H151&gt;200000,"2 Lakhs +",H151&gt;=100000,"1-2 Lakhs",H151&lt;100000,"Below 1 Lakhs")</f>
        <v>1-2 Lakhs</v>
      </c>
    </row>
    <row r="152" spans="1:10" x14ac:dyDescent="0.25">
      <c r="A152" s="12">
        <v>151</v>
      </c>
      <c r="B152" s="6">
        <v>3797</v>
      </c>
      <c r="C152" s="12">
        <v>57</v>
      </c>
      <c r="D152" s="6" t="s">
        <v>11</v>
      </c>
      <c r="E152" s="6" t="s">
        <v>316</v>
      </c>
      <c r="F152" s="10">
        <v>36603</v>
      </c>
      <c r="G152" s="12">
        <v>30</v>
      </c>
      <c r="H152" s="8">
        <v>237787</v>
      </c>
      <c r="I152" s="6" t="str" cm="1">
        <f t="array" ref="I152">_xlfn.IFS(C152&gt;50,"50+",C152&gt;=30,"30-50",C152&lt;30,"Under 30")</f>
        <v>50+</v>
      </c>
      <c r="J152" s="6" t="str" cm="1">
        <f t="array" ref="J152">_xlfn.IFS(H152&gt;200000,"2 Lakhs +",H152&gt;=100000,"1-2 Lakhs",H152&lt;100000,"Below 1 Lakhs")</f>
        <v>2 Lakhs +</v>
      </c>
    </row>
    <row r="153" spans="1:10" x14ac:dyDescent="0.25">
      <c r="A153" s="12">
        <v>152</v>
      </c>
      <c r="B153" s="6">
        <v>1475</v>
      </c>
      <c r="C153" s="12">
        <v>33</v>
      </c>
      <c r="D153" s="6" t="s">
        <v>11</v>
      </c>
      <c r="E153" s="6" t="s">
        <v>316</v>
      </c>
      <c r="F153" s="10">
        <v>28719</v>
      </c>
      <c r="G153" s="12">
        <v>15</v>
      </c>
      <c r="H153" s="8">
        <v>120289</v>
      </c>
      <c r="I153" s="6" t="str" cm="1">
        <f t="array" ref="I153">_xlfn.IFS(C153&gt;50,"50+",C153&gt;=30,"30-50",C153&lt;30,"Under 30")</f>
        <v>30-50</v>
      </c>
      <c r="J153" s="6" t="str" cm="1">
        <f t="array" ref="J153">_xlfn.IFS(H153&gt;200000,"2 Lakhs +",H153&gt;=100000,"1-2 Lakhs",H153&lt;100000,"Below 1 Lakhs")</f>
        <v>1-2 Lakhs</v>
      </c>
    </row>
    <row r="154" spans="1:10" x14ac:dyDescent="0.25">
      <c r="A154" s="12">
        <v>153</v>
      </c>
      <c r="B154" s="6">
        <v>4165</v>
      </c>
      <c r="C154" s="12">
        <v>59</v>
      </c>
      <c r="D154" s="6" t="s">
        <v>13</v>
      </c>
      <c r="E154" s="6" t="s">
        <v>317</v>
      </c>
      <c r="F154" s="10">
        <v>26069</v>
      </c>
      <c r="G154" s="12">
        <v>29</v>
      </c>
      <c r="H154" s="8">
        <v>229854</v>
      </c>
      <c r="I154" s="6" t="str" cm="1">
        <f t="array" ref="I154">_xlfn.IFS(C154&gt;50,"50+",C154&gt;=30,"30-50",C154&lt;30,"Under 30")</f>
        <v>50+</v>
      </c>
      <c r="J154" s="6" t="str" cm="1">
        <f t="array" ref="J154">_xlfn.IFS(H154&gt;200000,"2 Lakhs +",H154&gt;=100000,"1-2 Lakhs",H154&lt;100000,"Below 1 Lakhs")</f>
        <v>2 Lakhs +</v>
      </c>
    </row>
    <row r="155" spans="1:10" x14ac:dyDescent="0.25">
      <c r="A155" s="12">
        <v>154</v>
      </c>
      <c r="B155" s="6">
        <v>3292</v>
      </c>
      <c r="C155" s="12">
        <v>33</v>
      </c>
      <c r="D155" s="6" t="s">
        <v>17</v>
      </c>
      <c r="E155" s="6" t="s">
        <v>316</v>
      </c>
      <c r="F155" s="10">
        <v>42923</v>
      </c>
      <c r="G155" s="12">
        <v>16</v>
      </c>
      <c r="H155" s="8">
        <v>140462</v>
      </c>
      <c r="I155" s="6" t="str" cm="1">
        <f t="array" ref="I155">_xlfn.IFS(C155&gt;50,"50+",C155&gt;=30,"30-50",C155&lt;30,"Under 30")</f>
        <v>30-50</v>
      </c>
      <c r="J155" s="6" t="str" cm="1">
        <f t="array" ref="J155">_xlfn.IFS(H155&gt;200000,"2 Lakhs +",H155&gt;=100000,"1-2 Lakhs",H155&lt;100000,"Below 1 Lakhs")</f>
        <v>1-2 Lakhs</v>
      </c>
    </row>
    <row r="156" spans="1:10" x14ac:dyDescent="0.25">
      <c r="A156" s="12">
        <v>155</v>
      </c>
      <c r="B156" s="6">
        <v>1740</v>
      </c>
      <c r="C156" s="12">
        <v>35</v>
      </c>
      <c r="D156" s="6" t="s">
        <v>10</v>
      </c>
      <c r="E156" s="6" t="s">
        <v>317</v>
      </c>
      <c r="F156" s="10">
        <v>38381</v>
      </c>
      <c r="G156" s="12">
        <v>17</v>
      </c>
      <c r="H156" s="8">
        <v>137966</v>
      </c>
      <c r="I156" s="6" t="str" cm="1">
        <f t="array" ref="I156">_xlfn.IFS(C156&gt;50,"50+",C156&gt;=30,"30-50",C156&lt;30,"Under 30")</f>
        <v>30-50</v>
      </c>
      <c r="J156" s="6" t="str" cm="1">
        <f t="array" ref="J156">_xlfn.IFS(H156&gt;200000,"2 Lakhs +",H156&gt;=100000,"1-2 Lakhs",H156&lt;100000,"Below 1 Lakhs")</f>
        <v>1-2 Lakhs</v>
      </c>
    </row>
    <row r="157" spans="1:10" x14ac:dyDescent="0.25">
      <c r="A157" s="12">
        <v>156</v>
      </c>
      <c r="B157" s="6">
        <v>5139</v>
      </c>
      <c r="C157" s="12">
        <v>48</v>
      </c>
      <c r="D157" s="6" t="s">
        <v>13</v>
      </c>
      <c r="E157" s="6" t="s">
        <v>317</v>
      </c>
      <c r="F157" s="10">
        <v>30791</v>
      </c>
      <c r="G157" s="12">
        <v>26</v>
      </c>
      <c r="H157" s="8">
        <v>198685</v>
      </c>
      <c r="I157" s="6" t="str" cm="1">
        <f t="array" ref="I157">_xlfn.IFS(C157&gt;50,"50+",C157&gt;=30,"30-50",C157&lt;30,"Under 30")</f>
        <v>30-50</v>
      </c>
      <c r="J157" s="6" t="str" cm="1">
        <f t="array" ref="J157">_xlfn.IFS(H157&gt;200000,"2 Lakhs +",H157&gt;=100000,"1-2 Lakhs",H157&lt;100000,"Below 1 Lakhs")</f>
        <v>1-2 Lakhs</v>
      </c>
    </row>
    <row r="158" spans="1:10" x14ac:dyDescent="0.25">
      <c r="A158" s="12">
        <v>157</v>
      </c>
      <c r="B158" s="6">
        <v>4522</v>
      </c>
      <c r="C158" s="12">
        <v>31</v>
      </c>
      <c r="D158" s="6" t="s">
        <v>11</v>
      </c>
      <c r="E158" s="6" t="s">
        <v>316</v>
      </c>
      <c r="F158" s="10">
        <v>35517</v>
      </c>
      <c r="G158" s="12">
        <v>13</v>
      </c>
      <c r="H158" s="8">
        <v>97639</v>
      </c>
      <c r="I158" s="6" t="str" cm="1">
        <f t="array" ref="I158">_xlfn.IFS(C158&gt;50,"50+",C158&gt;=30,"30-50",C158&lt;30,"Under 30")</f>
        <v>30-50</v>
      </c>
      <c r="J158" s="6" t="str" cm="1">
        <f t="array" ref="J158">_xlfn.IFS(H158&gt;200000,"2 Lakhs +",H158&gt;=100000,"1-2 Lakhs",H158&lt;100000,"Below 1 Lakhs")</f>
        <v>Below 1 Lakhs</v>
      </c>
    </row>
    <row r="159" spans="1:10" x14ac:dyDescent="0.25">
      <c r="A159" s="12">
        <v>158</v>
      </c>
      <c r="B159" s="6">
        <v>2227</v>
      </c>
      <c r="C159" s="12">
        <v>51</v>
      </c>
      <c r="D159" s="6" t="s">
        <v>10</v>
      </c>
      <c r="E159" s="6" t="s">
        <v>317</v>
      </c>
      <c r="F159" s="10">
        <v>28392</v>
      </c>
      <c r="G159" s="12">
        <v>27</v>
      </c>
      <c r="H159" s="8">
        <v>213234</v>
      </c>
      <c r="I159" s="6" t="str" cm="1">
        <f t="array" ref="I159">_xlfn.IFS(C159&gt;50,"50+",C159&gt;=30,"30-50",C159&lt;30,"Under 30")</f>
        <v>50+</v>
      </c>
      <c r="J159" s="6" t="str" cm="1">
        <f t="array" ref="J159">_xlfn.IFS(H159&gt;200000,"2 Lakhs +",H159&gt;=100000,"1-2 Lakhs",H159&lt;100000,"Below 1 Lakhs")</f>
        <v>2 Lakhs +</v>
      </c>
    </row>
    <row r="160" spans="1:10" x14ac:dyDescent="0.25">
      <c r="A160" s="12">
        <v>159</v>
      </c>
      <c r="B160" s="6">
        <v>1859</v>
      </c>
      <c r="C160" s="12">
        <v>58</v>
      </c>
      <c r="D160" s="6" t="s">
        <v>8</v>
      </c>
      <c r="E160" s="6" t="s">
        <v>317</v>
      </c>
      <c r="F160" s="10">
        <v>42523</v>
      </c>
      <c r="G160" s="12">
        <v>27</v>
      </c>
      <c r="H160" s="8">
        <v>223033</v>
      </c>
      <c r="I160" s="6" t="str" cm="1">
        <f t="array" ref="I160">_xlfn.IFS(C160&gt;50,"50+",C160&gt;=30,"30-50",C160&lt;30,"Under 30")</f>
        <v>50+</v>
      </c>
      <c r="J160" s="6" t="str" cm="1">
        <f t="array" ref="J160">_xlfn.IFS(H160&gt;200000,"2 Lakhs +",H160&gt;=100000,"1-2 Lakhs",H160&lt;100000,"Below 1 Lakhs")</f>
        <v>2 Lakhs +</v>
      </c>
    </row>
    <row r="161" spans="1:10" x14ac:dyDescent="0.25">
      <c r="A161" s="12">
        <v>160</v>
      </c>
      <c r="B161" s="6">
        <v>9580</v>
      </c>
      <c r="C161" s="12">
        <v>57</v>
      </c>
      <c r="D161" s="6" t="s">
        <v>8</v>
      </c>
      <c r="E161" s="6" t="s">
        <v>316</v>
      </c>
      <c r="F161" s="10">
        <v>37502</v>
      </c>
      <c r="G161" s="12">
        <v>30</v>
      </c>
      <c r="H161" s="8">
        <v>234249</v>
      </c>
      <c r="I161" s="6" t="str" cm="1">
        <f t="array" ref="I161">_xlfn.IFS(C161&gt;50,"50+",C161&gt;=30,"30-50",C161&lt;30,"Under 30")</f>
        <v>50+</v>
      </c>
      <c r="J161" s="6" t="str" cm="1">
        <f t="array" ref="J161">_xlfn.IFS(H161&gt;200000,"2 Lakhs +",H161&gt;=100000,"1-2 Lakhs",H161&lt;100000,"Below 1 Lakhs")</f>
        <v>2 Lakhs +</v>
      </c>
    </row>
    <row r="162" spans="1:10" x14ac:dyDescent="0.25">
      <c r="A162" s="12">
        <v>161</v>
      </c>
      <c r="B162" s="6">
        <v>7166</v>
      </c>
      <c r="C162" s="12">
        <v>45</v>
      </c>
      <c r="D162" s="6" t="s">
        <v>13</v>
      </c>
      <c r="E162" s="6" t="s">
        <v>317</v>
      </c>
      <c r="F162" s="10">
        <v>27616</v>
      </c>
      <c r="G162" s="12">
        <v>21</v>
      </c>
      <c r="H162" s="8">
        <v>172147</v>
      </c>
      <c r="I162" s="6" t="str" cm="1">
        <f t="array" ref="I162">_xlfn.IFS(C162&gt;50,"50+",C162&gt;=30,"30-50",C162&lt;30,"Under 30")</f>
        <v>30-50</v>
      </c>
      <c r="J162" s="6" t="str" cm="1">
        <f t="array" ref="J162">_xlfn.IFS(H162&gt;200000,"2 Lakhs +",H162&gt;=100000,"1-2 Lakhs",H162&lt;100000,"Below 1 Lakhs")</f>
        <v>1-2 Lakhs</v>
      </c>
    </row>
    <row r="163" spans="1:10" x14ac:dyDescent="0.25">
      <c r="A163" s="12">
        <v>162</v>
      </c>
      <c r="B163" s="6">
        <v>2383</v>
      </c>
      <c r="C163" s="12">
        <v>35</v>
      </c>
      <c r="D163" s="6" t="s">
        <v>13</v>
      </c>
      <c r="E163" s="6" t="s">
        <v>317</v>
      </c>
      <c r="F163" s="10">
        <v>26897</v>
      </c>
      <c r="G163" s="12">
        <v>14</v>
      </c>
      <c r="H163" s="8">
        <v>110715</v>
      </c>
      <c r="I163" s="6" t="str" cm="1">
        <f t="array" ref="I163">_xlfn.IFS(C163&gt;50,"50+",C163&gt;=30,"30-50",C163&lt;30,"Under 30")</f>
        <v>30-50</v>
      </c>
      <c r="J163" s="6" t="str" cm="1">
        <f t="array" ref="J163">_xlfn.IFS(H163&gt;200000,"2 Lakhs +",H163&gt;=100000,"1-2 Lakhs",H163&lt;100000,"Below 1 Lakhs")</f>
        <v>1-2 Lakhs</v>
      </c>
    </row>
    <row r="164" spans="1:10" x14ac:dyDescent="0.25">
      <c r="A164" s="12">
        <v>163</v>
      </c>
      <c r="B164" s="6">
        <v>7950</v>
      </c>
      <c r="C164" s="12">
        <v>50</v>
      </c>
      <c r="D164" s="6" t="s">
        <v>17</v>
      </c>
      <c r="E164" s="6" t="s">
        <v>317</v>
      </c>
      <c r="F164" s="10">
        <v>33668</v>
      </c>
      <c r="G164" s="12">
        <v>23</v>
      </c>
      <c r="H164" s="8">
        <v>181074</v>
      </c>
      <c r="I164" s="6" t="str" cm="1">
        <f t="array" ref="I164">_xlfn.IFS(C164&gt;50,"50+",C164&gt;=30,"30-50",C164&lt;30,"Under 30")</f>
        <v>30-50</v>
      </c>
      <c r="J164" s="6" t="str" cm="1">
        <f t="array" ref="J164">_xlfn.IFS(H164&gt;200000,"2 Lakhs +",H164&gt;=100000,"1-2 Lakhs",H164&lt;100000,"Below 1 Lakhs")</f>
        <v>1-2 Lakhs</v>
      </c>
    </row>
    <row r="165" spans="1:10" x14ac:dyDescent="0.25">
      <c r="A165" s="12">
        <v>164</v>
      </c>
      <c r="B165" s="6">
        <v>5231</v>
      </c>
      <c r="C165" s="12">
        <v>48</v>
      </c>
      <c r="D165" s="6" t="s">
        <v>17</v>
      </c>
      <c r="E165" s="6" t="s">
        <v>317</v>
      </c>
      <c r="F165" s="10">
        <v>40165</v>
      </c>
      <c r="G165" s="12">
        <v>22</v>
      </c>
      <c r="H165" s="8">
        <v>172103</v>
      </c>
      <c r="I165" s="6" t="str" cm="1">
        <f t="array" ref="I165">_xlfn.IFS(C165&gt;50,"50+",C165&gt;=30,"30-50",C165&lt;30,"Under 30")</f>
        <v>30-50</v>
      </c>
      <c r="J165" s="6" t="str" cm="1">
        <f t="array" ref="J165">_xlfn.IFS(H165&gt;200000,"2 Lakhs +",H165&gt;=100000,"1-2 Lakhs",H165&lt;100000,"Below 1 Lakhs")</f>
        <v>1-2 Lakhs</v>
      </c>
    </row>
    <row r="166" spans="1:10" x14ac:dyDescent="0.25">
      <c r="A166" s="12">
        <v>165</v>
      </c>
      <c r="B166" s="6">
        <v>3709</v>
      </c>
      <c r="C166" s="12">
        <v>32</v>
      </c>
      <c r="D166" s="6" t="s">
        <v>17</v>
      </c>
      <c r="E166" s="6" t="s">
        <v>316</v>
      </c>
      <c r="F166" s="10">
        <v>29983</v>
      </c>
      <c r="G166" s="12">
        <v>15</v>
      </c>
      <c r="H166" s="8">
        <v>121991</v>
      </c>
      <c r="I166" s="6" t="str" cm="1">
        <f t="array" ref="I166">_xlfn.IFS(C166&gt;50,"50+",C166&gt;=30,"30-50",C166&lt;30,"Under 30")</f>
        <v>30-50</v>
      </c>
      <c r="J166" s="6" t="str" cm="1">
        <f t="array" ref="J166">_xlfn.IFS(H166&gt;200000,"2 Lakhs +",H166&gt;=100000,"1-2 Lakhs",H166&lt;100000,"Below 1 Lakhs")</f>
        <v>1-2 Lakhs</v>
      </c>
    </row>
    <row r="167" spans="1:10" x14ac:dyDescent="0.25">
      <c r="A167" s="12">
        <v>166</v>
      </c>
      <c r="B167" s="6">
        <v>5077</v>
      </c>
      <c r="C167" s="12">
        <v>49</v>
      </c>
      <c r="D167" s="6" t="s">
        <v>8</v>
      </c>
      <c r="E167" s="6" t="s">
        <v>316</v>
      </c>
      <c r="F167" s="10">
        <v>28454</v>
      </c>
      <c r="G167" s="12">
        <v>20</v>
      </c>
      <c r="H167" s="8">
        <v>174787</v>
      </c>
      <c r="I167" s="6" t="str" cm="1">
        <f t="array" ref="I167">_xlfn.IFS(C167&gt;50,"50+",C167&gt;=30,"30-50",C167&lt;30,"Under 30")</f>
        <v>30-50</v>
      </c>
      <c r="J167" s="6" t="str" cm="1">
        <f t="array" ref="J167">_xlfn.IFS(H167&gt;200000,"2 Lakhs +",H167&gt;=100000,"1-2 Lakhs",H167&lt;100000,"Below 1 Lakhs")</f>
        <v>1-2 Lakhs</v>
      </c>
    </row>
    <row r="168" spans="1:10" x14ac:dyDescent="0.25">
      <c r="A168" s="12">
        <v>167</v>
      </c>
      <c r="B168" s="6">
        <v>8159</v>
      </c>
      <c r="C168" s="12">
        <v>52</v>
      </c>
      <c r="D168" s="6" t="s">
        <v>17</v>
      </c>
      <c r="E168" s="6" t="s">
        <v>316</v>
      </c>
      <c r="F168" s="10">
        <v>38987</v>
      </c>
      <c r="G168" s="12">
        <v>25</v>
      </c>
      <c r="H168" s="8">
        <v>200675</v>
      </c>
      <c r="I168" s="6" t="str" cm="1">
        <f t="array" ref="I168">_xlfn.IFS(C168&gt;50,"50+",C168&gt;=30,"30-50",C168&lt;30,"Under 30")</f>
        <v>50+</v>
      </c>
      <c r="J168" s="6" t="str" cm="1">
        <f t="array" ref="J168">_xlfn.IFS(H168&gt;200000,"2 Lakhs +",H168&gt;=100000,"1-2 Lakhs",H168&lt;100000,"Below 1 Lakhs")</f>
        <v>2 Lakhs +</v>
      </c>
    </row>
    <row r="169" spans="1:10" x14ac:dyDescent="0.25">
      <c r="A169" s="12">
        <v>168</v>
      </c>
      <c r="B169" s="6">
        <v>2327</v>
      </c>
      <c r="C169" s="12">
        <v>35</v>
      </c>
      <c r="D169" s="6" t="s">
        <v>13</v>
      </c>
      <c r="E169" s="6" t="s">
        <v>316</v>
      </c>
      <c r="F169" s="10">
        <v>26440</v>
      </c>
      <c r="G169" s="12">
        <v>17</v>
      </c>
      <c r="H169" s="8">
        <v>144719</v>
      </c>
      <c r="I169" s="6" t="str" cm="1">
        <f t="array" ref="I169">_xlfn.IFS(C169&gt;50,"50+",C169&gt;=30,"30-50",C169&lt;30,"Under 30")</f>
        <v>30-50</v>
      </c>
      <c r="J169" s="6" t="str" cm="1">
        <f t="array" ref="J169">_xlfn.IFS(H169&gt;200000,"2 Lakhs +",H169&gt;=100000,"1-2 Lakhs",H169&lt;100000,"Below 1 Lakhs")</f>
        <v>1-2 Lakhs</v>
      </c>
    </row>
    <row r="170" spans="1:10" x14ac:dyDescent="0.25">
      <c r="A170" s="12">
        <v>169</v>
      </c>
      <c r="B170" s="6">
        <v>8869</v>
      </c>
      <c r="C170" s="12">
        <v>51</v>
      </c>
      <c r="D170" s="6" t="s">
        <v>11</v>
      </c>
      <c r="E170" s="6" t="s">
        <v>316</v>
      </c>
      <c r="F170" s="10">
        <v>39718</v>
      </c>
      <c r="G170" s="12">
        <v>25</v>
      </c>
      <c r="H170" s="8">
        <v>198755</v>
      </c>
      <c r="I170" s="6" t="str" cm="1">
        <f t="array" ref="I170">_xlfn.IFS(C170&gt;50,"50+",C170&gt;=30,"30-50",C170&lt;30,"Under 30")</f>
        <v>50+</v>
      </c>
      <c r="J170" s="6" t="str" cm="1">
        <f t="array" ref="J170">_xlfn.IFS(H170&gt;200000,"2 Lakhs +",H170&gt;=100000,"1-2 Lakhs",H170&lt;100000,"Below 1 Lakhs")</f>
        <v>1-2 Lakhs</v>
      </c>
    </row>
    <row r="171" spans="1:10" x14ac:dyDescent="0.25">
      <c r="A171" s="12">
        <v>170</v>
      </c>
      <c r="B171" s="6">
        <v>1184</v>
      </c>
      <c r="C171" s="12">
        <v>44</v>
      </c>
      <c r="D171" s="6" t="s">
        <v>13</v>
      </c>
      <c r="E171" s="6" t="s">
        <v>317</v>
      </c>
      <c r="F171" s="10">
        <v>36012</v>
      </c>
      <c r="G171" s="12">
        <v>19</v>
      </c>
      <c r="H171" s="8">
        <v>150320</v>
      </c>
      <c r="I171" s="6" t="str" cm="1">
        <f t="array" ref="I171">_xlfn.IFS(C171&gt;50,"50+",C171&gt;=30,"30-50",C171&lt;30,"Under 30")</f>
        <v>30-50</v>
      </c>
      <c r="J171" s="6" t="str" cm="1">
        <f t="array" ref="J171">_xlfn.IFS(H171&gt;200000,"2 Lakhs +",H171&gt;=100000,"1-2 Lakhs",H171&lt;100000,"Below 1 Lakhs")</f>
        <v>1-2 Lakhs</v>
      </c>
    </row>
    <row r="172" spans="1:10" x14ac:dyDescent="0.25">
      <c r="A172" s="12">
        <v>171</v>
      </c>
      <c r="B172" s="6">
        <v>5290</v>
      </c>
      <c r="C172" s="12">
        <v>52</v>
      </c>
      <c r="D172" s="6" t="s">
        <v>11</v>
      </c>
      <c r="E172" s="6" t="s">
        <v>317</v>
      </c>
      <c r="F172" s="10">
        <v>30523</v>
      </c>
      <c r="G172" s="12">
        <v>25</v>
      </c>
      <c r="H172" s="8">
        <v>196697</v>
      </c>
      <c r="I172" s="6" t="str" cm="1">
        <f t="array" ref="I172">_xlfn.IFS(C172&gt;50,"50+",C172&gt;=30,"30-50",C172&lt;30,"Under 30")</f>
        <v>50+</v>
      </c>
      <c r="J172" s="6" t="str" cm="1">
        <f t="array" ref="J172">_xlfn.IFS(H172&gt;200000,"2 Lakhs +",H172&gt;=100000,"1-2 Lakhs",H172&lt;100000,"Below 1 Lakhs")</f>
        <v>1-2 Lakhs</v>
      </c>
    </row>
    <row r="173" spans="1:10" x14ac:dyDescent="0.25">
      <c r="A173" s="12">
        <v>172</v>
      </c>
      <c r="B173" s="6">
        <v>3041</v>
      </c>
      <c r="C173" s="12">
        <v>29</v>
      </c>
      <c r="D173" s="6" t="s">
        <v>8</v>
      </c>
      <c r="E173" s="6" t="s">
        <v>317</v>
      </c>
      <c r="F173" s="10">
        <v>30304</v>
      </c>
      <c r="G173" s="12">
        <v>16</v>
      </c>
      <c r="H173" s="8">
        <v>133598</v>
      </c>
      <c r="I173" s="6" t="str" cm="1">
        <f t="array" ref="I173">_xlfn.IFS(C173&gt;50,"50+",C173&gt;=30,"30-50",C173&lt;30,"Under 30")</f>
        <v>Under 30</v>
      </c>
      <c r="J173" s="6" t="str" cm="1">
        <f t="array" ref="J173">_xlfn.IFS(H173&gt;200000,"2 Lakhs +",H173&gt;=100000,"1-2 Lakhs",H173&lt;100000,"Below 1 Lakhs")</f>
        <v>1-2 Lakhs</v>
      </c>
    </row>
    <row r="174" spans="1:10" x14ac:dyDescent="0.25">
      <c r="A174" s="12">
        <v>173</v>
      </c>
      <c r="B174" s="6">
        <v>3995</v>
      </c>
      <c r="C174" s="12">
        <v>38</v>
      </c>
      <c r="D174" s="6" t="s">
        <v>13</v>
      </c>
      <c r="E174" s="6" t="s">
        <v>316</v>
      </c>
      <c r="F174" s="10">
        <v>35581</v>
      </c>
      <c r="G174" s="12">
        <v>18</v>
      </c>
      <c r="H174" s="8">
        <v>152005</v>
      </c>
      <c r="I174" s="6" t="str" cm="1">
        <f t="array" ref="I174">_xlfn.IFS(C174&gt;50,"50+",C174&gt;=30,"30-50",C174&lt;30,"Under 30")</f>
        <v>30-50</v>
      </c>
      <c r="J174" s="6" t="str" cm="1">
        <f t="array" ref="J174">_xlfn.IFS(H174&gt;200000,"2 Lakhs +",H174&gt;=100000,"1-2 Lakhs",H174&lt;100000,"Below 1 Lakhs")</f>
        <v>1-2 Lakhs</v>
      </c>
    </row>
    <row r="175" spans="1:10" x14ac:dyDescent="0.25">
      <c r="A175" s="12">
        <v>174</v>
      </c>
      <c r="B175" s="6">
        <v>3870</v>
      </c>
      <c r="C175" s="12">
        <v>30</v>
      </c>
      <c r="D175" s="6" t="s">
        <v>17</v>
      </c>
      <c r="E175" s="6" t="s">
        <v>317</v>
      </c>
      <c r="F175" s="10">
        <v>32602</v>
      </c>
      <c r="G175" s="12">
        <v>17</v>
      </c>
      <c r="H175" s="8">
        <v>127810</v>
      </c>
      <c r="I175" s="6" t="str" cm="1">
        <f t="array" ref="I175">_xlfn.IFS(C175&gt;50,"50+",C175&gt;=30,"30-50",C175&lt;30,"Under 30")</f>
        <v>30-50</v>
      </c>
      <c r="J175" s="6" t="str" cm="1">
        <f t="array" ref="J175">_xlfn.IFS(H175&gt;200000,"2 Lakhs +",H175&gt;=100000,"1-2 Lakhs",H175&lt;100000,"Below 1 Lakhs")</f>
        <v>1-2 Lakhs</v>
      </c>
    </row>
    <row r="176" spans="1:10" x14ac:dyDescent="0.25">
      <c r="A176" s="12">
        <v>175</v>
      </c>
      <c r="B176" s="6">
        <v>7949</v>
      </c>
      <c r="C176" s="12">
        <v>59</v>
      </c>
      <c r="D176" s="6" t="s">
        <v>13</v>
      </c>
      <c r="E176" s="6" t="s">
        <v>316</v>
      </c>
      <c r="F176" s="10">
        <v>34971</v>
      </c>
      <c r="G176" s="12">
        <v>31</v>
      </c>
      <c r="H176" s="8">
        <v>245029</v>
      </c>
      <c r="I176" s="6" t="str" cm="1">
        <f t="array" ref="I176">_xlfn.IFS(C176&gt;50,"50+",C176&gt;=30,"30-50",C176&lt;30,"Under 30")</f>
        <v>50+</v>
      </c>
      <c r="J176" s="6" t="str" cm="1">
        <f t="array" ref="J176">_xlfn.IFS(H176&gt;200000,"2 Lakhs +",H176&gt;=100000,"1-2 Lakhs",H176&lt;100000,"Below 1 Lakhs")</f>
        <v>2 Lakhs +</v>
      </c>
    </row>
    <row r="177" spans="1:10" x14ac:dyDescent="0.25">
      <c r="A177" s="12">
        <v>176</v>
      </c>
      <c r="B177" s="6">
        <v>3635</v>
      </c>
      <c r="C177" s="12">
        <v>40</v>
      </c>
      <c r="D177" s="6" t="s">
        <v>10</v>
      </c>
      <c r="E177" s="6" t="s">
        <v>317</v>
      </c>
      <c r="F177" s="10">
        <v>43994</v>
      </c>
      <c r="G177" s="12">
        <v>20</v>
      </c>
      <c r="H177" s="8">
        <v>159567</v>
      </c>
      <c r="I177" s="6" t="str" cm="1">
        <f t="array" ref="I177">_xlfn.IFS(C177&gt;50,"50+",C177&gt;=30,"30-50",C177&lt;30,"Under 30")</f>
        <v>30-50</v>
      </c>
      <c r="J177" s="6" t="str" cm="1">
        <f t="array" ref="J177">_xlfn.IFS(H177&gt;200000,"2 Lakhs +",H177&gt;=100000,"1-2 Lakhs",H177&lt;100000,"Below 1 Lakhs")</f>
        <v>1-2 Lakhs</v>
      </c>
    </row>
    <row r="178" spans="1:10" x14ac:dyDescent="0.25">
      <c r="A178" s="12">
        <v>177</v>
      </c>
      <c r="B178" s="6">
        <v>5679</v>
      </c>
      <c r="C178" s="12">
        <v>38</v>
      </c>
      <c r="D178" s="6" t="s">
        <v>11</v>
      </c>
      <c r="E178" s="6" t="s">
        <v>317</v>
      </c>
      <c r="F178" s="10">
        <v>33255</v>
      </c>
      <c r="G178" s="12">
        <v>20</v>
      </c>
      <c r="H178" s="8">
        <v>165488</v>
      </c>
      <c r="I178" s="6" t="str" cm="1">
        <f t="array" ref="I178">_xlfn.IFS(C178&gt;50,"50+",C178&gt;=30,"30-50",C178&lt;30,"Under 30")</f>
        <v>30-50</v>
      </c>
      <c r="J178" s="6" t="str" cm="1">
        <f t="array" ref="J178">_xlfn.IFS(H178&gt;200000,"2 Lakhs +",H178&gt;=100000,"1-2 Lakhs",H178&lt;100000,"Below 1 Lakhs")</f>
        <v>1-2 Lakhs</v>
      </c>
    </row>
    <row r="179" spans="1:10" x14ac:dyDescent="0.25">
      <c r="A179" s="12">
        <v>178</v>
      </c>
      <c r="B179" s="6">
        <v>5525</v>
      </c>
      <c r="C179" s="12">
        <v>36</v>
      </c>
      <c r="D179" s="6" t="s">
        <v>11</v>
      </c>
      <c r="E179" s="6" t="s">
        <v>316</v>
      </c>
      <c r="F179" s="10">
        <v>38059</v>
      </c>
      <c r="G179" s="12">
        <v>18</v>
      </c>
      <c r="H179" s="8">
        <v>144373</v>
      </c>
      <c r="I179" s="6" t="str" cm="1">
        <f t="array" ref="I179">_xlfn.IFS(C179&gt;50,"50+",C179&gt;=30,"30-50",C179&lt;30,"Under 30")</f>
        <v>30-50</v>
      </c>
      <c r="J179" s="6" t="str" cm="1">
        <f t="array" ref="J179">_xlfn.IFS(H179&gt;200000,"2 Lakhs +",H179&gt;=100000,"1-2 Lakhs",H179&lt;100000,"Below 1 Lakhs")</f>
        <v>1-2 Lakhs</v>
      </c>
    </row>
    <row r="180" spans="1:10" x14ac:dyDescent="0.25">
      <c r="A180" s="12">
        <v>179</v>
      </c>
      <c r="B180" s="6">
        <v>9645</v>
      </c>
      <c r="C180" s="12">
        <v>52</v>
      </c>
      <c r="D180" s="6" t="s">
        <v>8</v>
      </c>
      <c r="E180" s="6" t="s">
        <v>316</v>
      </c>
      <c r="F180" s="10">
        <v>29741</v>
      </c>
      <c r="G180" s="12">
        <v>25</v>
      </c>
      <c r="H180" s="8">
        <v>209113</v>
      </c>
      <c r="I180" s="6" t="str" cm="1">
        <f t="array" ref="I180">_xlfn.IFS(C180&gt;50,"50+",C180&gt;=30,"30-50",C180&lt;30,"Under 30")</f>
        <v>50+</v>
      </c>
      <c r="J180" s="6" t="str" cm="1">
        <f t="array" ref="J180">_xlfn.IFS(H180&gt;200000,"2 Lakhs +",H180&gt;=100000,"1-2 Lakhs",H180&lt;100000,"Below 1 Lakhs")</f>
        <v>2 Lakhs +</v>
      </c>
    </row>
    <row r="181" spans="1:10" x14ac:dyDescent="0.25">
      <c r="A181" s="12">
        <v>180</v>
      </c>
      <c r="B181" s="6">
        <v>9968</v>
      </c>
      <c r="C181" s="12">
        <v>62</v>
      </c>
      <c r="D181" s="6" t="s">
        <v>17</v>
      </c>
      <c r="E181" s="6" t="s">
        <v>317</v>
      </c>
      <c r="F181" s="10">
        <v>38380</v>
      </c>
      <c r="G181" s="12">
        <v>29</v>
      </c>
      <c r="H181" s="8">
        <v>230159</v>
      </c>
      <c r="I181" s="6" t="str" cm="1">
        <f t="array" ref="I181">_xlfn.IFS(C181&gt;50,"50+",C181&gt;=30,"30-50",C181&lt;30,"Under 30")</f>
        <v>50+</v>
      </c>
      <c r="J181" s="6" t="str" cm="1">
        <f t="array" ref="J181">_xlfn.IFS(H181&gt;200000,"2 Lakhs +",H181&gt;=100000,"1-2 Lakhs",H181&lt;100000,"Below 1 Lakhs")</f>
        <v>2 Lakhs +</v>
      </c>
    </row>
    <row r="182" spans="1:10" x14ac:dyDescent="0.25">
      <c r="A182" s="12">
        <v>181</v>
      </c>
      <c r="B182" s="6">
        <v>3953</v>
      </c>
      <c r="C182" s="12">
        <v>62</v>
      </c>
      <c r="D182" s="6" t="s">
        <v>11</v>
      </c>
      <c r="E182" s="6" t="s">
        <v>317</v>
      </c>
      <c r="F182" s="10">
        <v>43363</v>
      </c>
      <c r="G182" s="12">
        <v>32</v>
      </c>
      <c r="H182" s="8">
        <v>242948</v>
      </c>
      <c r="I182" s="6" t="str" cm="1">
        <f t="array" ref="I182">_xlfn.IFS(C182&gt;50,"50+",C182&gt;=30,"30-50",C182&lt;30,"Under 30")</f>
        <v>50+</v>
      </c>
      <c r="J182" s="6" t="str" cm="1">
        <f t="array" ref="J182">_xlfn.IFS(H182&gt;200000,"2 Lakhs +",H182&gt;=100000,"1-2 Lakhs",H182&lt;100000,"Below 1 Lakhs")</f>
        <v>2 Lakhs +</v>
      </c>
    </row>
    <row r="183" spans="1:10" x14ac:dyDescent="0.25">
      <c r="A183" s="12">
        <v>182</v>
      </c>
      <c r="B183" s="6">
        <v>4758</v>
      </c>
      <c r="C183" s="12">
        <v>42</v>
      </c>
      <c r="D183" s="6" t="s">
        <v>13</v>
      </c>
      <c r="E183" s="6" t="s">
        <v>316</v>
      </c>
      <c r="F183" s="10">
        <v>37458</v>
      </c>
      <c r="G183" s="12">
        <v>22</v>
      </c>
      <c r="H183" s="8">
        <v>181627</v>
      </c>
      <c r="I183" s="6" t="str" cm="1">
        <f t="array" ref="I183">_xlfn.IFS(C183&gt;50,"50+",C183&gt;=30,"30-50",C183&lt;30,"Under 30")</f>
        <v>30-50</v>
      </c>
      <c r="J183" s="6" t="str" cm="1">
        <f t="array" ref="J183">_xlfn.IFS(H183&gt;200000,"2 Lakhs +",H183&gt;=100000,"1-2 Lakhs",H183&lt;100000,"Below 1 Lakhs")</f>
        <v>1-2 Lakhs</v>
      </c>
    </row>
    <row r="184" spans="1:10" x14ac:dyDescent="0.25">
      <c r="A184" s="12">
        <v>183</v>
      </c>
      <c r="B184" s="6">
        <v>7427</v>
      </c>
      <c r="C184" s="12">
        <v>48</v>
      </c>
      <c r="D184" s="6" t="s">
        <v>17</v>
      </c>
      <c r="E184" s="6" t="s">
        <v>316</v>
      </c>
      <c r="F184" s="10">
        <v>32319</v>
      </c>
      <c r="G184" s="12">
        <v>24</v>
      </c>
      <c r="H184" s="8">
        <v>185708</v>
      </c>
      <c r="I184" s="6" t="str" cm="1">
        <f t="array" ref="I184">_xlfn.IFS(C184&gt;50,"50+",C184&gt;=30,"30-50",C184&lt;30,"Under 30")</f>
        <v>30-50</v>
      </c>
      <c r="J184" s="6" t="str" cm="1">
        <f t="array" ref="J184">_xlfn.IFS(H184&gt;200000,"2 Lakhs +",H184&gt;=100000,"1-2 Lakhs",H184&lt;100000,"Below 1 Lakhs")</f>
        <v>1-2 Lakhs</v>
      </c>
    </row>
    <row r="185" spans="1:10" x14ac:dyDescent="0.25">
      <c r="A185" s="12">
        <v>184</v>
      </c>
      <c r="B185" s="6">
        <v>8999</v>
      </c>
      <c r="C185" s="12">
        <v>28</v>
      </c>
      <c r="D185" s="6" t="s">
        <v>11</v>
      </c>
      <c r="E185" s="6" t="s">
        <v>317</v>
      </c>
      <c r="F185" s="10">
        <v>42684</v>
      </c>
      <c r="G185" s="12">
        <v>14</v>
      </c>
      <c r="H185" s="8">
        <v>111947</v>
      </c>
      <c r="I185" s="6" t="str" cm="1">
        <f t="array" ref="I185">_xlfn.IFS(C185&gt;50,"50+",C185&gt;=30,"30-50",C185&lt;30,"Under 30")</f>
        <v>Under 30</v>
      </c>
      <c r="J185" s="6" t="str" cm="1">
        <f t="array" ref="J185">_xlfn.IFS(H185&gt;200000,"2 Lakhs +",H185&gt;=100000,"1-2 Lakhs",H185&lt;100000,"Below 1 Lakhs")</f>
        <v>1-2 Lakhs</v>
      </c>
    </row>
    <row r="186" spans="1:10" x14ac:dyDescent="0.25">
      <c r="A186" s="12">
        <v>185</v>
      </c>
      <c r="B186" s="6">
        <v>7658</v>
      </c>
      <c r="C186" s="12">
        <v>53</v>
      </c>
      <c r="D186" s="6" t="s">
        <v>17</v>
      </c>
      <c r="E186" s="6" t="s">
        <v>316</v>
      </c>
      <c r="F186" s="10">
        <v>26700</v>
      </c>
      <c r="G186" s="12">
        <v>26</v>
      </c>
      <c r="H186" s="8">
        <v>201058</v>
      </c>
      <c r="I186" s="6" t="str" cm="1">
        <f t="array" ref="I186">_xlfn.IFS(C186&gt;50,"50+",C186&gt;=30,"30-50",C186&lt;30,"Under 30")</f>
        <v>50+</v>
      </c>
      <c r="J186" s="6" t="str" cm="1">
        <f t="array" ref="J186">_xlfn.IFS(H186&gt;200000,"2 Lakhs +",H186&gt;=100000,"1-2 Lakhs",H186&lt;100000,"Below 1 Lakhs")</f>
        <v>2 Lakhs +</v>
      </c>
    </row>
    <row r="187" spans="1:10" x14ac:dyDescent="0.25">
      <c r="A187" s="12">
        <v>186</v>
      </c>
      <c r="B187" s="6">
        <v>4734</v>
      </c>
      <c r="C187" s="12">
        <v>42</v>
      </c>
      <c r="D187" s="6" t="s">
        <v>11</v>
      </c>
      <c r="E187" s="6" t="s">
        <v>317</v>
      </c>
      <c r="F187" s="10">
        <v>34316</v>
      </c>
      <c r="G187" s="12">
        <v>21</v>
      </c>
      <c r="H187" s="8">
        <v>168451</v>
      </c>
      <c r="I187" s="6" t="str" cm="1">
        <f t="array" ref="I187">_xlfn.IFS(C187&gt;50,"50+",C187&gt;=30,"30-50",C187&lt;30,"Under 30")</f>
        <v>30-50</v>
      </c>
      <c r="J187" s="6" t="str" cm="1">
        <f t="array" ref="J187">_xlfn.IFS(H187&gt;200000,"2 Lakhs +",H187&gt;=100000,"1-2 Lakhs",H187&lt;100000,"Below 1 Lakhs")</f>
        <v>1-2 Lakhs</v>
      </c>
    </row>
    <row r="188" spans="1:10" x14ac:dyDescent="0.25">
      <c r="A188" s="12">
        <v>187</v>
      </c>
      <c r="B188" s="6">
        <v>7336</v>
      </c>
      <c r="C188" s="12">
        <v>22</v>
      </c>
      <c r="D188" s="6" t="s">
        <v>10</v>
      </c>
      <c r="E188" s="6" t="s">
        <v>317</v>
      </c>
      <c r="F188" s="10">
        <v>34814</v>
      </c>
      <c r="G188" s="12">
        <v>8</v>
      </c>
      <c r="H188" s="8">
        <v>57732</v>
      </c>
      <c r="I188" s="6" t="str" cm="1">
        <f t="array" ref="I188">_xlfn.IFS(C188&gt;50,"50+",C188&gt;=30,"30-50",C188&lt;30,"Under 30")</f>
        <v>Under 30</v>
      </c>
      <c r="J188" s="6" t="str" cm="1">
        <f t="array" ref="J188">_xlfn.IFS(H188&gt;200000,"2 Lakhs +",H188&gt;=100000,"1-2 Lakhs",H188&lt;100000,"Below 1 Lakhs")</f>
        <v>Below 1 Lakhs</v>
      </c>
    </row>
    <row r="189" spans="1:10" x14ac:dyDescent="0.25">
      <c r="A189" s="12">
        <v>188</v>
      </c>
      <c r="B189" s="6">
        <v>4024</v>
      </c>
      <c r="C189" s="12">
        <v>46</v>
      </c>
      <c r="D189" s="6" t="s">
        <v>13</v>
      </c>
      <c r="E189" s="6" t="s">
        <v>317</v>
      </c>
      <c r="F189" s="10">
        <v>39169</v>
      </c>
      <c r="G189" s="12">
        <v>25</v>
      </c>
      <c r="H189" s="8">
        <v>197413</v>
      </c>
      <c r="I189" s="6" t="str" cm="1">
        <f t="array" ref="I189">_xlfn.IFS(C189&gt;50,"50+",C189&gt;=30,"30-50",C189&lt;30,"Under 30")</f>
        <v>30-50</v>
      </c>
      <c r="J189" s="6" t="str" cm="1">
        <f t="array" ref="J189">_xlfn.IFS(H189&gt;200000,"2 Lakhs +",H189&gt;=100000,"1-2 Lakhs",H189&lt;100000,"Below 1 Lakhs")</f>
        <v>1-2 Lakhs</v>
      </c>
    </row>
    <row r="190" spans="1:10" x14ac:dyDescent="0.25">
      <c r="A190" s="12">
        <v>189</v>
      </c>
      <c r="B190" s="6">
        <v>7752</v>
      </c>
      <c r="C190" s="12">
        <v>30</v>
      </c>
      <c r="D190" s="6" t="s">
        <v>11</v>
      </c>
      <c r="E190" s="6" t="s">
        <v>316</v>
      </c>
      <c r="F190" s="10">
        <v>27272</v>
      </c>
      <c r="G190" s="12">
        <v>16</v>
      </c>
      <c r="H190" s="8">
        <v>121722</v>
      </c>
      <c r="I190" s="6" t="str" cm="1">
        <f t="array" ref="I190">_xlfn.IFS(C190&gt;50,"50+",C190&gt;=30,"30-50",C190&lt;30,"Under 30")</f>
        <v>30-50</v>
      </c>
      <c r="J190" s="6" t="str" cm="1">
        <f t="array" ref="J190">_xlfn.IFS(H190&gt;200000,"2 Lakhs +",H190&gt;=100000,"1-2 Lakhs",H190&lt;100000,"Below 1 Lakhs")</f>
        <v>1-2 Lakhs</v>
      </c>
    </row>
    <row r="191" spans="1:10" x14ac:dyDescent="0.25">
      <c r="A191" s="12">
        <v>190</v>
      </c>
      <c r="B191" s="6">
        <v>9981</v>
      </c>
      <c r="C191" s="12">
        <v>30</v>
      </c>
      <c r="D191" s="6" t="s">
        <v>13</v>
      </c>
      <c r="E191" s="6" t="s">
        <v>317</v>
      </c>
      <c r="F191" s="10">
        <v>29733</v>
      </c>
      <c r="G191" s="12">
        <v>18</v>
      </c>
      <c r="H191" s="8">
        <v>152895</v>
      </c>
      <c r="I191" s="6" t="str" cm="1">
        <f t="array" ref="I191">_xlfn.IFS(C191&gt;50,"50+",C191&gt;=30,"30-50",C191&lt;30,"Under 30")</f>
        <v>30-50</v>
      </c>
      <c r="J191" s="6" t="str" cm="1">
        <f t="array" ref="J191">_xlfn.IFS(H191&gt;200000,"2 Lakhs +",H191&gt;=100000,"1-2 Lakhs",H191&lt;100000,"Below 1 Lakhs")</f>
        <v>1-2 Lakhs</v>
      </c>
    </row>
    <row r="192" spans="1:10" x14ac:dyDescent="0.25">
      <c r="A192" s="12">
        <v>191</v>
      </c>
      <c r="B192" s="6">
        <v>2003</v>
      </c>
      <c r="C192" s="12">
        <v>30</v>
      </c>
      <c r="D192" s="6" t="s">
        <v>8</v>
      </c>
      <c r="E192" s="6" t="s">
        <v>316</v>
      </c>
      <c r="F192" s="10">
        <v>41081</v>
      </c>
      <c r="G192" s="12">
        <v>14</v>
      </c>
      <c r="H192" s="8">
        <v>117925</v>
      </c>
      <c r="I192" s="6" t="str" cm="1">
        <f t="array" ref="I192">_xlfn.IFS(C192&gt;50,"50+",C192&gt;=30,"30-50",C192&lt;30,"Under 30")</f>
        <v>30-50</v>
      </c>
      <c r="J192" s="6" t="str" cm="1">
        <f t="array" ref="J192">_xlfn.IFS(H192&gt;200000,"2 Lakhs +",H192&gt;=100000,"1-2 Lakhs",H192&lt;100000,"Below 1 Lakhs")</f>
        <v>1-2 Lakhs</v>
      </c>
    </row>
    <row r="193" spans="1:10" x14ac:dyDescent="0.25">
      <c r="A193" s="12">
        <v>192</v>
      </c>
      <c r="B193" s="6">
        <v>9689</v>
      </c>
      <c r="C193" s="12">
        <v>56</v>
      </c>
      <c r="D193" s="6" t="s">
        <v>13</v>
      </c>
      <c r="E193" s="6" t="s">
        <v>317</v>
      </c>
      <c r="F193" s="10">
        <v>33726</v>
      </c>
      <c r="G193" s="12">
        <v>24</v>
      </c>
      <c r="H193" s="8">
        <v>193844</v>
      </c>
      <c r="I193" s="6" t="str" cm="1">
        <f t="array" ref="I193">_xlfn.IFS(C193&gt;50,"50+",C193&gt;=30,"30-50",C193&lt;30,"Under 30")</f>
        <v>50+</v>
      </c>
      <c r="J193" s="6" t="str" cm="1">
        <f t="array" ref="J193">_xlfn.IFS(H193&gt;200000,"2 Lakhs +",H193&gt;=100000,"1-2 Lakhs",H193&lt;100000,"Below 1 Lakhs")</f>
        <v>1-2 Lakhs</v>
      </c>
    </row>
    <row r="194" spans="1:10" x14ac:dyDescent="0.25">
      <c r="A194" s="12">
        <v>193</v>
      </c>
      <c r="B194" s="6">
        <v>2869</v>
      </c>
      <c r="C194" s="12">
        <v>30</v>
      </c>
      <c r="D194" s="6" t="s">
        <v>17</v>
      </c>
      <c r="E194" s="6" t="s">
        <v>317</v>
      </c>
      <c r="F194" s="10">
        <v>26179</v>
      </c>
      <c r="G194" s="12">
        <v>14</v>
      </c>
      <c r="H194" s="8">
        <v>121879</v>
      </c>
      <c r="I194" s="6" t="str" cm="1">
        <f t="array" ref="I194">_xlfn.IFS(C194&gt;50,"50+",C194&gt;=30,"30-50",C194&lt;30,"Under 30")</f>
        <v>30-50</v>
      </c>
      <c r="J194" s="6" t="str" cm="1">
        <f t="array" ref="J194">_xlfn.IFS(H194&gt;200000,"2 Lakhs +",H194&gt;=100000,"1-2 Lakhs",H194&lt;100000,"Below 1 Lakhs")</f>
        <v>1-2 Lakhs</v>
      </c>
    </row>
    <row r="195" spans="1:10" x14ac:dyDescent="0.25">
      <c r="A195" s="12">
        <v>194</v>
      </c>
      <c r="B195" s="6">
        <v>9133</v>
      </c>
      <c r="C195" s="12">
        <v>41</v>
      </c>
      <c r="D195" s="6" t="s">
        <v>11</v>
      </c>
      <c r="E195" s="6" t="s">
        <v>317</v>
      </c>
      <c r="F195" s="10">
        <v>38606</v>
      </c>
      <c r="G195" s="12">
        <v>22</v>
      </c>
      <c r="H195" s="8">
        <v>176397</v>
      </c>
      <c r="I195" s="6" t="str" cm="1">
        <f t="array" ref="I195">_xlfn.IFS(C195&gt;50,"50+",C195&gt;=30,"30-50",C195&lt;30,"Under 30")</f>
        <v>30-50</v>
      </c>
      <c r="J195" s="6" t="str" cm="1">
        <f t="array" ref="J195">_xlfn.IFS(H195&gt;200000,"2 Lakhs +",H195&gt;=100000,"1-2 Lakhs",H195&lt;100000,"Below 1 Lakhs")</f>
        <v>1-2 Lakhs</v>
      </c>
    </row>
    <row r="196" spans="1:10" x14ac:dyDescent="0.25">
      <c r="A196" s="12">
        <v>195</v>
      </c>
      <c r="B196" s="6">
        <v>5618</v>
      </c>
      <c r="C196" s="12">
        <v>58</v>
      </c>
      <c r="D196" s="6" t="s">
        <v>17</v>
      </c>
      <c r="E196" s="6" t="s">
        <v>317</v>
      </c>
      <c r="F196" s="10">
        <v>33609</v>
      </c>
      <c r="G196" s="12">
        <v>31</v>
      </c>
      <c r="H196" s="8">
        <v>250658</v>
      </c>
      <c r="I196" s="6" t="str" cm="1">
        <f t="array" ref="I196">_xlfn.IFS(C196&gt;50,"50+",C196&gt;=30,"30-50",C196&lt;30,"Under 30")</f>
        <v>50+</v>
      </c>
      <c r="J196" s="6" t="str" cm="1">
        <f t="array" ref="J196">_xlfn.IFS(H196&gt;200000,"2 Lakhs +",H196&gt;=100000,"1-2 Lakhs",H196&lt;100000,"Below 1 Lakhs")</f>
        <v>2 Lakhs +</v>
      </c>
    </row>
    <row r="197" spans="1:10" x14ac:dyDescent="0.25">
      <c r="A197" s="12">
        <v>196</v>
      </c>
      <c r="B197" s="6">
        <v>2310</v>
      </c>
      <c r="C197" s="12">
        <v>47</v>
      </c>
      <c r="D197" s="6" t="s">
        <v>13</v>
      </c>
      <c r="E197" s="6" t="s">
        <v>316</v>
      </c>
      <c r="F197" s="10">
        <v>29923</v>
      </c>
      <c r="G197" s="12">
        <v>22</v>
      </c>
      <c r="H197" s="8">
        <v>176752</v>
      </c>
      <c r="I197" s="6" t="str" cm="1">
        <f t="array" ref="I197">_xlfn.IFS(C197&gt;50,"50+",C197&gt;=30,"30-50",C197&lt;30,"Under 30")</f>
        <v>30-50</v>
      </c>
      <c r="J197" s="6" t="str" cm="1">
        <f t="array" ref="J197">_xlfn.IFS(H197&gt;200000,"2 Lakhs +",H197&gt;=100000,"1-2 Lakhs",H197&lt;100000,"Below 1 Lakhs")</f>
        <v>1-2 Lakhs</v>
      </c>
    </row>
    <row r="198" spans="1:10" x14ac:dyDescent="0.25">
      <c r="A198" s="12">
        <v>197</v>
      </c>
      <c r="B198" s="6">
        <v>9025</v>
      </c>
      <c r="C198" s="12">
        <v>32</v>
      </c>
      <c r="D198" s="6" t="s">
        <v>11</v>
      </c>
      <c r="E198" s="6" t="s">
        <v>317</v>
      </c>
      <c r="F198" s="10">
        <v>41421</v>
      </c>
      <c r="G198" s="12">
        <v>15</v>
      </c>
      <c r="H198" s="8">
        <v>123319</v>
      </c>
      <c r="I198" s="6" t="str" cm="1">
        <f t="array" ref="I198">_xlfn.IFS(C198&gt;50,"50+",C198&gt;=30,"30-50",C198&lt;30,"Under 30")</f>
        <v>30-50</v>
      </c>
      <c r="J198" s="6" t="str" cm="1">
        <f t="array" ref="J198">_xlfn.IFS(H198&gt;200000,"2 Lakhs +",H198&gt;=100000,"1-2 Lakhs",H198&lt;100000,"Below 1 Lakhs")</f>
        <v>1-2 Lakhs</v>
      </c>
    </row>
    <row r="199" spans="1:10" x14ac:dyDescent="0.25">
      <c r="A199" s="12">
        <v>198</v>
      </c>
      <c r="B199" s="6">
        <v>2227</v>
      </c>
      <c r="C199" s="12">
        <v>60</v>
      </c>
      <c r="D199" s="6" t="s">
        <v>11</v>
      </c>
      <c r="E199" s="6" t="s">
        <v>317</v>
      </c>
      <c r="F199" s="10">
        <v>44677</v>
      </c>
      <c r="G199" s="12">
        <v>32</v>
      </c>
      <c r="H199" s="8">
        <v>258573</v>
      </c>
      <c r="I199" s="6" t="str" cm="1">
        <f t="array" ref="I199">_xlfn.IFS(C199&gt;50,"50+",C199&gt;=30,"30-50",C199&lt;30,"Under 30")</f>
        <v>50+</v>
      </c>
      <c r="J199" s="6" t="str" cm="1">
        <f t="array" ref="J199">_xlfn.IFS(H199&gt;200000,"2 Lakhs +",H199&gt;=100000,"1-2 Lakhs",H199&lt;100000,"Below 1 Lakhs")</f>
        <v>2 Lakhs +</v>
      </c>
    </row>
    <row r="200" spans="1:10" x14ac:dyDescent="0.25">
      <c r="A200" s="12">
        <v>199</v>
      </c>
      <c r="B200" s="6">
        <v>2996</v>
      </c>
      <c r="C200" s="12">
        <v>42</v>
      </c>
      <c r="D200" s="6" t="s">
        <v>8</v>
      </c>
      <c r="E200" s="6" t="s">
        <v>316</v>
      </c>
      <c r="F200" s="10">
        <v>29638</v>
      </c>
      <c r="G200" s="12">
        <v>19</v>
      </c>
      <c r="H200" s="8">
        <v>150946</v>
      </c>
      <c r="I200" s="6" t="str" cm="1">
        <f t="array" ref="I200">_xlfn.IFS(C200&gt;50,"50+",C200&gt;=30,"30-50",C200&lt;30,"Under 30")</f>
        <v>30-50</v>
      </c>
      <c r="J200" s="6" t="str" cm="1">
        <f t="array" ref="J200">_xlfn.IFS(H200&gt;200000,"2 Lakhs +",H200&gt;=100000,"1-2 Lakhs",H200&lt;100000,"Below 1 Lakhs")</f>
        <v>1-2 Lakhs</v>
      </c>
    </row>
    <row r="201" spans="1:10" x14ac:dyDescent="0.25">
      <c r="A201" s="12">
        <v>200</v>
      </c>
      <c r="B201" s="6">
        <v>3003</v>
      </c>
      <c r="C201" s="12">
        <v>25</v>
      </c>
      <c r="D201" s="6" t="s">
        <v>13</v>
      </c>
      <c r="E201" s="6" t="s">
        <v>317</v>
      </c>
      <c r="F201" s="10">
        <v>45197</v>
      </c>
      <c r="G201" s="12">
        <v>14</v>
      </c>
      <c r="H201" s="8">
        <v>114361</v>
      </c>
      <c r="I201" s="6" t="str" cm="1">
        <f t="array" ref="I201">_xlfn.IFS(C201&gt;50,"50+",C201&gt;=30,"30-50",C201&lt;30,"Under 30")</f>
        <v>Under 30</v>
      </c>
      <c r="J201" s="6" t="str" cm="1">
        <f t="array" ref="J201">_xlfn.IFS(H201&gt;200000,"2 Lakhs +",H201&gt;=100000,"1-2 Lakhs",H201&lt;100000,"Below 1 Lakhs")</f>
        <v>1-2 Lakhs</v>
      </c>
    </row>
    <row r="202" spans="1:10" x14ac:dyDescent="0.25">
      <c r="A202" s="12">
        <v>201</v>
      </c>
      <c r="B202" s="6">
        <v>7608</v>
      </c>
      <c r="C202" s="12">
        <v>63</v>
      </c>
      <c r="D202" s="6" t="s">
        <v>17</v>
      </c>
      <c r="E202" s="6" t="s">
        <v>317</v>
      </c>
      <c r="F202" s="10">
        <v>32861</v>
      </c>
      <c r="G202" s="12">
        <v>32</v>
      </c>
      <c r="H202" s="8">
        <v>257944</v>
      </c>
      <c r="I202" s="6" t="str" cm="1">
        <f t="array" ref="I202">_xlfn.IFS(C202&gt;50,"50+",C202&gt;=30,"30-50",C202&lt;30,"Under 30")</f>
        <v>50+</v>
      </c>
      <c r="J202" s="6" t="str" cm="1">
        <f t="array" ref="J202">_xlfn.IFS(H202&gt;200000,"2 Lakhs +",H202&gt;=100000,"1-2 Lakhs",H202&lt;100000,"Below 1 Lakhs")</f>
        <v>2 Lakhs +</v>
      </c>
    </row>
    <row r="203" spans="1:10" x14ac:dyDescent="0.25">
      <c r="A203" s="12">
        <v>202</v>
      </c>
      <c r="B203" s="6">
        <v>1121</v>
      </c>
      <c r="C203" s="12">
        <v>22</v>
      </c>
      <c r="D203" s="6" t="s">
        <v>17</v>
      </c>
      <c r="E203" s="6" t="s">
        <v>316</v>
      </c>
      <c r="F203" s="10">
        <v>30530</v>
      </c>
      <c r="G203" s="12">
        <v>12</v>
      </c>
      <c r="H203" s="8">
        <v>91127</v>
      </c>
      <c r="I203" s="6" t="str" cm="1">
        <f t="array" ref="I203">_xlfn.IFS(C203&gt;50,"50+",C203&gt;=30,"30-50",C203&lt;30,"Under 30")</f>
        <v>Under 30</v>
      </c>
      <c r="J203" s="6" t="str" cm="1">
        <f t="array" ref="J203">_xlfn.IFS(H203&gt;200000,"2 Lakhs +",H203&gt;=100000,"1-2 Lakhs",H203&lt;100000,"Below 1 Lakhs")</f>
        <v>Below 1 Lakhs</v>
      </c>
    </row>
    <row r="204" spans="1:10" x14ac:dyDescent="0.25">
      <c r="A204" s="12">
        <v>203</v>
      </c>
      <c r="B204" s="6">
        <v>1838</v>
      </c>
      <c r="C204" s="12">
        <v>64</v>
      </c>
      <c r="D204" s="6" t="s">
        <v>13</v>
      </c>
      <c r="E204" s="6" t="s">
        <v>317</v>
      </c>
      <c r="F204" s="10">
        <v>41632</v>
      </c>
      <c r="G204" s="12">
        <v>34</v>
      </c>
      <c r="H204" s="8">
        <v>273400</v>
      </c>
      <c r="I204" s="6" t="str" cm="1">
        <f t="array" ref="I204">_xlfn.IFS(C204&gt;50,"50+",C204&gt;=30,"30-50",C204&lt;30,"Under 30")</f>
        <v>50+</v>
      </c>
      <c r="J204" s="6" t="str" cm="1">
        <f t="array" ref="J204">_xlfn.IFS(H204&gt;200000,"2 Lakhs +",H204&gt;=100000,"1-2 Lakhs",H204&lt;100000,"Below 1 Lakhs")</f>
        <v>2 Lakhs +</v>
      </c>
    </row>
    <row r="205" spans="1:10" x14ac:dyDescent="0.25">
      <c r="A205" s="12">
        <v>204</v>
      </c>
      <c r="B205" s="6">
        <v>6586</v>
      </c>
      <c r="C205" s="12">
        <v>46</v>
      </c>
      <c r="D205" s="6" t="s">
        <v>13</v>
      </c>
      <c r="E205" s="6" t="s">
        <v>317</v>
      </c>
      <c r="F205" s="10">
        <v>26853</v>
      </c>
      <c r="G205" s="12">
        <v>25</v>
      </c>
      <c r="H205" s="8">
        <v>196459</v>
      </c>
      <c r="I205" s="6" t="str" cm="1">
        <f t="array" ref="I205">_xlfn.IFS(C205&gt;50,"50+",C205&gt;=30,"30-50",C205&lt;30,"Under 30")</f>
        <v>30-50</v>
      </c>
      <c r="J205" s="6" t="str" cm="1">
        <f t="array" ref="J205">_xlfn.IFS(H205&gt;200000,"2 Lakhs +",H205&gt;=100000,"1-2 Lakhs",H205&lt;100000,"Below 1 Lakhs")</f>
        <v>1-2 Lakhs</v>
      </c>
    </row>
    <row r="206" spans="1:10" x14ac:dyDescent="0.25">
      <c r="A206" s="12">
        <v>205</v>
      </c>
      <c r="B206" s="6">
        <v>4148</v>
      </c>
      <c r="C206" s="12">
        <v>34</v>
      </c>
      <c r="D206" s="6" t="s">
        <v>11</v>
      </c>
      <c r="E206" s="6" t="s">
        <v>316</v>
      </c>
      <c r="F206" s="10">
        <v>41953</v>
      </c>
      <c r="G206" s="12">
        <v>18</v>
      </c>
      <c r="H206" s="8">
        <v>132705</v>
      </c>
      <c r="I206" s="6" t="str" cm="1">
        <f t="array" ref="I206">_xlfn.IFS(C206&gt;50,"50+",C206&gt;=30,"30-50",C206&lt;30,"Under 30")</f>
        <v>30-50</v>
      </c>
      <c r="J206" s="6" t="str" cm="1">
        <f t="array" ref="J206">_xlfn.IFS(H206&gt;200000,"2 Lakhs +",H206&gt;=100000,"1-2 Lakhs",H206&lt;100000,"Below 1 Lakhs")</f>
        <v>1-2 Lakhs</v>
      </c>
    </row>
    <row r="207" spans="1:10" x14ac:dyDescent="0.25">
      <c r="A207" s="12">
        <v>206</v>
      </c>
      <c r="B207" s="6">
        <v>6227</v>
      </c>
      <c r="C207" s="12">
        <v>61</v>
      </c>
      <c r="D207" s="6" t="s">
        <v>10</v>
      </c>
      <c r="E207" s="6" t="s">
        <v>317</v>
      </c>
      <c r="F207" s="10">
        <v>38513</v>
      </c>
      <c r="G207" s="12">
        <v>24</v>
      </c>
      <c r="H207" s="8">
        <v>192494</v>
      </c>
      <c r="I207" s="6" t="str" cm="1">
        <f t="array" ref="I207">_xlfn.IFS(C207&gt;50,"50+",C207&gt;=30,"30-50",C207&lt;30,"Under 30")</f>
        <v>50+</v>
      </c>
      <c r="J207" s="6" t="str" cm="1">
        <f t="array" ref="J207">_xlfn.IFS(H207&gt;200000,"2 Lakhs +",H207&gt;=100000,"1-2 Lakhs",H207&lt;100000,"Below 1 Lakhs")</f>
        <v>1-2 Lakhs</v>
      </c>
    </row>
    <row r="208" spans="1:10" x14ac:dyDescent="0.25">
      <c r="A208" s="12">
        <v>207</v>
      </c>
      <c r="B208" s="6">
        <v>6663</v>
      </c>
      <c r="C208" s="12">
        <v>38</v>
      </c>
      <c r="D208" s="6" t="s">
        <v>11</v>
      </c>
      <c r="E208" s="6" t="s">
        <v>317</v>
      </c>
      <c r="F208" s="10">
        <v>33525</v>
      </c>
      <c r="G208" s="12">
        <v>21</v>
      </c>
      <c r="H208" s="8">
        <v>164835</v>
      </c>
      <c r="I208" s="6" t="str" cm="1">
        <f t="array" ref="I208">_xlfn.IFS(C208&gt;50,"50+",C208&gt;=30,"30-50",C208&lt;30,"Under 30")</f>
        <v>30-50</v>
      </c>
      <c r="J208" s="6" t="str" cm="1">
        <f t="array" ref="J208">_xlfn.IFS(H208&gt;200000,"2 Lakhs +",H208&gt;=100000,"1-2 Lakhs",H208&lt;100000,"Below 1 Lakhs")</f>
        <v>1-2 Lakhs</v>
      </c>
    </row>
    <row r="209" spans="1:10" x14ac:dyDescent="0.25">
      <c r="A209" s="12">
        <v>208</v>
      </c>
      <c r="B209" s="6">
        <v>9650</v>
      </c>
      <c r="C209" s="12">
        <v>33</v>
      </c>
      <c r="D209" s="6" t="s">
        <v>8</v>
      </c>
      <c r="E209" s="6" t="s">
        <v>316</v>
      </c>
      <c r="F209" s="10">
        <v>28085</v>
      </c>
      <c r="G209" s="12">
        <v>15</v>
      </c>
      <c r="H209" s="8">
        <v>126137</v>
      </c>
      <c r="I209" s="6" t="str" cm="1">
        <f t="array" ref="I209">_xlfn.IFS(C209&gt;50,"50+",C209&gt;=30,"30-50",C209&lt;30,"Under 30")</f>
        <v>30-50</v>
      </c>
      <c r="J209" s="6" t="str" cm="1">
        <f t="array" ref="J209">_xlfn.IFS(H209&gt;200000,"2 Lakhs +",H209&gt;=100000,"1-2 Lakhs",H209&lt;100000,"Below 1 Lakhs")</f>
        <v>1-2 Lakhs</v>
      </c>
    </row>
    <row r="210" spans="1:10" x14ac:dyDescent="0.25">
      <c r="A210" s="12">
        <v>209</v>
      </c>
      <c r="B210" s="6">
        <v>6929</v>
      </c>
      <c r="C210" s="12">
        <v>51</v>
      </c>
      <c r="D210" s="6" t="s">
        <v>13</v>
      </c>
      <c r="E210" s="6" t="s">
        <v>317</v>
      </c>
      <c r="F210" s="10">
        <v>28165</v>
      </c>
      <c r="G210" s="12">
        <v>25</v>
      </c>
      <c r="H210" s="8">
        <v>200225</v>
      </c>
      <c r="I210" s="6" t="str" cm="1">
        <f t="array" ref="I210">_xlfn.IFS(C210&gt;50,"50+",C210&gt;=30,"30-50",C210&lt;30,"Under 30")</f>
        <v>50+</v>
      </c>
      <c r="J210" s="6" t="str" cm="1">
        <f t="array" ref="J210">_xlfn.IFS(H210&gt;200000,"2 Lakhs +",H210&gt;=100000,"1-2 Lakhs",H210&lt;100000,"Below 1 Lakhs")</f>
        <v>2 Lakhs +</v>
      </c>
    </row>
    <row r="211" spans="1:10" x14ac:dyDescent="0.25">
      <c r="A211" s="12">
        <v>210</v>
      </c>
      <c r="B211" s="6">
        <v>2863</v>
      </c>
      <c r="C211" s="12">
        <v>46</v>
      </c>
      <c r="D211" s="6" t="s">
        <v>8</v>
      </c>
      <c r="E211" s="6" t="s">
        <v>316</v>
      </c>
      <c r="F211" s="10">
        <v>39857</v>
      </c>
      <c r="G211" s="12">
        <v>25</v>
      </c>
      <c r="H211" s="8">
        <v>195891</v>
      </c>
      <c r="I211" s="6" t="str" cm="1">
        <f t="array" ref="I211">_xlfn.IFS(C211&gt;50,"50+",C211&gt;=30,"30-50",C211&lt;30,"Under 30")</f>
        <v>30-50</v>
      </c>
      <c r="J211" s="6" t="str" cm="1">
        <f t="array" ref="J211">_xlfn.IFS(H211&gt;200000,"2 Lakhs +",H211&gt;=100000,"1-2 Lakhs",H211&lt;100000,"Below 1 Lakhs")</f>
        <v>1-2 Lakhs</v>
      </c>
    </row>
    <row r="212" spans="1:10" x14ac:dyDescent="0.25">
      <c r="A212" s="12">
        <v>211</v>
      </c>
      <c r="B212" s="6">
        <v>8673</v>
      </c>
      <c r="C212" s="12">
        <v>44</v>
      </c>
      <c r="D212" s="6" t="s">
        <v>11</v>
      </c>
      <c r="E212" s="6" t="s">
        <v>317</v>
      </c>
      <c r="F212" s="10">
        <v>45093</v>
      </c>
      <c r="G212" s="12">
        <v>20</v>
      </c>
      <c r="H212" s="8">
        <v>156207</v>
      </c>
      <c r="I212" s="6" t="str" cm="1">
        <f t="array" ref="I212">_xlfn.IFS(C212&gt;50,"50+",C212&gt;=30,"30-50",C212&lt;30,"Under 30")</f>
        <v>30-50</v>
      </c>
      <c r="J212" s="6" t="str" cm="1">
        <f t="array" ref="J212">_xlfn.IFS(H212&gt;200000,"2 Lakhs +",H212&gt;=100000,"1-2 Lakhs",H212&lt;100000,"Below 1 Lakhs")</f>
        <v>1-2 Lakhs</v>
      </c>
    </row>
    <row r="213" spans="1:10" x14ac:dyDescent="0.25">
      <c r="A213" s="12">
        <v>212</v>
      </c>
      <c r="B213" s="6">
        <v>2820</v>
      </c>
      <c r="C213" s="12">
        <v>28</v>
      </c>
      <c r="D213" s="6" t="s">
        <v>8</v>
      </c>
      <c r="E213" s="6" t="s">
        <v>317</v>
      </c>
      <c r="F213" s="10">
        <v>43218</v>
      </c>
      <c r="G213" s="12">
        <v>18</v>
      </c>
      <c r="H213" s="8">
        <v>135734</v>
      </c>
      <c r="I213" s="6" t="str" cm="1">
        <f t="array" ref="I213">_xlfn.IFS(C213&gt;50,"50+",C213&gt;=30,"30-50",C213&lt;30,"Under 30")</f>
        <v>Under 30</v>
      </c>
      <c r="J213" s="6" t="str" cm="1">
        <f t="array" ref="J213">_xlfn.IFS(H213&gt;200000,"2 Lakhs +",H213&gt;=100000,"1-2 Lakhs",H213&lt;100000,"Below 1 Lakhs")</f>
        <v>1-2 Lakhs</v>
      </c>
    </row>
    <row r="214" spans="1:10" x14ac:dyDescent="0.25">
      <c r="A214" s="12">
        <v>213</v>
      </c>
      <c r="B214" s="6">
        <v>6260</v>
      </c>
      <c r="C214" s="12">
        <v>23</v>
      </c>
      <c r="D214" s="6" t="s">
        <v>10</v>
      </c>
      <c r="E214" s="6" t="s">
        <v>316</v>
      </c>
      <c r="F214" s="10">
        <v>45367</v>
      </c>
      <c r="G214" s="12">
        <v>14</v>
      </c>
      <c r="H214" s="8">
        <v>109179</v>
      </c>
      <c r="I214" s="6" t="str" cm="1">
        <f t="array" ref="I214">_xlfn.IFS(C214&gt;50,"50+",C214&gt;=30,"30-50",C214&lt;30,"Under 30")</f>
        <v>Under 30</v>
      </c>
      <c r="J214" s="6" t="str" cm="1">
        <f t="array" ref="J214">_xlfn.IFS(H214&gt;200000,"2 Lakhs +",H214&gt;=100000,"1-2 Lakhs",H214&lt;100000,"Below 1 Lakhs")</f>
        <v>1-2 Lakhs</v>
      </c>
    </row>
    <row r="215" spans="1:10" x14ac:dyDescent="0.25">
      <c r="A215" s="12">
        <v>214</v>
      </c>
      <c r="B215" s="6">
        <v>5238</v>
      </c>
      <c r="C215" s="12">
        <v>48</v>
      </c>
      <c r="D215" s="6" t="s">
        <v>10</v>
      </c>
      <c r="E215" s="6" t="s">
        <v>316</v>
      </c>
      <c r="F215" s="10">
        <v>36243</v>
      </c>
      <c r="G215" s="12">
        <v>25</v>
      </c>
      <c r="H215" s="8">
        <v>197005</v>
      </c>
      <c r="I215" s="6" t="str" cm="1">
        <f t="array" ref="I215">_xlfn.IFS(C215&gt;50,"50+",C215&gt;=30,"30-50",C215&lt;30,"Under 30")</f>
        <v>30-50</v>
      </c>
      <c r="J215" s="6" t="str" cm="1">
        <f t="array" ref="J215">_xlfn.IFS(H215&gt;200000,"2 Lakhs +",H215&gt;=100000,"1-2 Lakhs",H215&lt;100000,"Below 1 Lakhs")</f>
        <v>1-2 Lakhs</v>
      </c>
    </row>
    <row r="216" spans="1:10" x14ac:dyDescent="0.25">
      <c r="A216" s="12">
        <v>215</v>
      </c>
      <c r="B216" s="6">
        <v>1284</v>
      </c>
      <c r="C216" s="12">
        <v>28</v>
      </c>
      <c r="D216" s="6" t="s">
        <v>10</v>
      </c>
      <c r="E216" s="6" t="s">
        <v>316</v>
      </c>
      <c r="F216" s="10">
        <v>45069</v>
      </c>
      <c r="G216" s="12">
        <v>13</v>
      </c>
      <c r="H216" s="8">
        <v>89207</v>
      </c>
      <c r="I216" s="6" t="str" cm="1">
        <f t="array" ref="I216">_xlfn.IFS(C216&gt;50,"50+",C216&gt;=30,"30-50",C216&lt;30,"Under 30")</f>
        <v>Under 30</v>
      </c>
      <c r="J216" s="6" t="str" cm="1">
        <f t="array" ref="J216">_xlfn.IFS(H216&gt;200000,"2 Lakhs +",H216&gt;=100000,"1-2 Lakhs",H216&lt;100000,"Below 1 Lakhs")</f>
        <v>Below 1 Lakhs</v>
      </c>
    </row>
    <row r="217" spans="1:10" x14ac:dyDescent="0.25">
      <c r="A217" s="12">
        <v>216</v>
      </c>
      <c r="B217" s="6">
        <v>3247</v>
      </c>
      <c r="C217" s="12">
        <v>34</v>
      </c>
      <c r="D217" s="6" t="s">
        <v>8</v>
      </c>
      <c r="E217" s="6" t="s">
        <v>317</v>
      </c>
      <c r="F217" s="10">
        <v>29549</v>
      </c>
      <c r="G217" s="12">
        <v>16</v>
      </c>
      <c r="H217" s="8">
        <v>138009</v>
      </c>
      <c r="I217" s="6" t="str" cm="1">
        <f t="array" ref="I217">_xlfn.IFS(C217&gt;50,"50+",C217&gt;=30,"30-50",C217&lt;30,"Under 30")</f>
        <v>30-50</v>
      </c>
      <c r="J217" s="6" t="str" cm="1">
        <f t="array" ref="J217">_xlfn.IFS(H217&gt;200000,"2 Lakhs +",H217&gt;=100000,"1-2 Lakhs",H217&lt;100000,"Below 1 Lakhs")</f>
        <v>1-2 Lakhs</v>
      </c>
    </row>
    <row r="218" spans="1:10" x14ac:dyDescent="0.25">
      <c r="A218" s="12">
        <v>217</v>
      </c>
      <c r="B218" s="6">
        <v>1541</v>
      </c>
      <c r="C218" s="12">
        <v>62</v>
      </c>
      <c r="D218" s="6" t="s">
        <v>17</v>
      </c>
      <c r="E218" s="6" t="s">
        <v>317</v>
      </c>
      <c r="F218" s="10">
        <v>38322</v>
      </c>
      <c r="G218" s="12">
        <v>28</v>
      </c>
      <c r="H218" s="8">
        <v>233480</v>
      </c>
      <c r="I218" s="6" t="str" cm="1">
        <f t="array" ref="I218">_xlfn.IFS(C218&gt;50,"50+",C218&gt;=30,"30-50",C218&lt;30,"Under 30")</f>
        <v>50+</v>
      </c>
      <c r="J218" s="6" t="str" cm="1">
        <f t="array" ref="J218">_xlfn.IFS(H218&gt;200000,"2 Lakhs +",H218&gt;=100000,"1-2 Lakhs",H218&lt;100000,"Below 1 Lakhs")</f>
        <v>2 Lakhs +</v>
      </c>
    </row>
    <row r="219" spans="1:10" x14ac:dyDescent="0.25">
      <c r="A219" s="12">
        <v>218</v>
      </c>
      <c r="B219" s="6">
        <v>5004</v>
      </c>
      <c r="C219" s="12">
        <v>57</v>
      </c>
      <c r="D219" s="6" t="s">
        <v>8</v>
      </c>
      <c r="E219" s="6" t="s">
        <v>317</v>
      </c>
      <c r="F219" s="10">
        <v>41768</v>
      </c>
      <c r="G219" s="12">
        <v>26</v>
      </c>
      <c r="H219" s="8">
        <v>206244</v>
      </c>
      <c r="I219" s="6" t="str" cm="1">
        <f t="array" ref="I219">_xlfn.IFS(C219&gt;50,"50+",C219&gt;=30,"30-50",C219&lt;30,"Under 30")</f>
        <v>50+</v>
      </c>
      <c r="J219" s="6" t="str" cm="1">
        <f t="array" ref="J219">_xlfn.IFS(H219&gt;200000,"2 Lakhs +",H219&gt;=100000,"1-2 Lakhs",H219&lt;100000,"Below 1 Lakhs")</f>
        <v>2 Lakhs +</v>
      </c>
    </row>
    <row r="220" spans="1:10" x14ac:dyDescent="0.25">
      <c r="A220" s="12">
        <v>219</v>
      </c>
      <c r="B220" s="6">
        <v>2696</v>
      </c>
      <c r="C220" s="12">
        <v>56</v>
      </c>
      <c r="D220" s="6" t="s">
        <v>8</v>
      </c>
      <c r="E220" s="6" t="s">
        <v>317</v>
      </c>
      <c r="F220" s="10">
        <v>36177</v>
      </c>
      <c r="G220" s="12">
        <v>26</v>
      </c>
      <c r="H220" s="8">
        <v>207865</v>
      </c>
      <c r="I220" s="6" t="str" cm="1">
        <f t="array" ref="I220">_xlfn.IFS(C220&gt;50,"50+",C220&gt;=30,"30-50",C220&lt;30,"Under 30")</f>
        <v>50+</v>
      </c>
      <c r="J220" s="6" t="str" cm="1">
        <f t="array" ref="J220">_xlfn.IFS(H220&gt;200000,"2 Lakhs +",H220&gt;=100000,"1-2 Lakhs",H220&lt;100000,"Below 1 Lakhs")</f>
        <v>2 Lakhs +</v>
      </c>
    </row>
    <row r="221" spans="1:10" x14ac:dyDescent="0.25">
      <c r="A221" s="12">
        <v>220</v>
      </c>
      <c r="B221" s="6">
        <v>6407</v>
      </c>
      <c r="C221" s="12">
        <v>43</v>
      </c>
      <c r="D221" s="6" t="s">
        <v>17</v>
      </c>
      <c r="E221" s="6" t="s">
        <v>317</v>
      </c>
      <c r="F221" s="10">
        <v>28689</v>
      </c>
      <c r="G221" s="12">
        <v>21</v>
      </c>
      <c r="H221" s="8">
        <v>160057</v>
      </c>
      <c r="I221" s="6" t="str" cm="1">
        <f t="array" ref="I221">_xlfn.IFS(C221&gt;50,"50+",C221&gt;=30,"30-50",C221&lt;30,"Under 30")</f>
        <v>30-50</v>
      </c>
      <c r="J221" s="6" t="str" cm="1">
        <f t="array" ref="J221">_xlfn.IFS(H221&gt;200000,"2 Lakhs +",H221&gt;=100000,"1-2 Lakhs",H221&lt;100000,"Below 1 Lakhs")</f>
        <v>1-2 Lakhs</v>
      </c>
    </row>
    <row r="222" spans="1:10" x14ac:dyDescent="0.25">
      <c r="A222" s="12">
        <v>221</v>
      </c>
      <c r="B222" s="6">
        <v>2699</v>
      </c>
      <c r="C222" s="12">
        <v>40</v>
      </c>
      <c r="D222" s="6" t="s">
        <v>8</v>
      </c>
      <c r="E222" s="6" t="s">
        <v>317</v>
      </c>
      <c r="F222" s="10">
        <v>44609</v>
      </c>
      <c r="G222" s="12">
        <v>16</v>
      </c>
      <c r="H222" s="8">
        <v>135082</v>
      </c>
      <c r="I222" s="6" t="str" cm="1">
        <f t="array" ref="I222">_xlfn.IFS(C222&gt;50,"50+",C222&gt;=30,"30-50",C222&lt;30,"Under 30")</f>
        <v>30-50</v>
      </c>
      <c r="J222" s="6" t="str" cm="1">
        <f t="array" ref="J222">_xlfn.IFS(H222&gt;200000,"2 Lakhs +",H222&gt;=100000,"1-2 Lakhs",H222&lt;100000,"Below 1 Lakhs")</f>
        <v>1-2 Lakhs</v>
      </c>
    </row>
    <row r="223" spans="1:10" x14ac:dyDescent="0.25">
      <c r="A223" s="12">
        <v>222</v>
      </c>
      <c r="B223" s="6">
        <v>9383</v>
      </c>
      <c r="C223" s="12">
        <v>57</v>
      </c>
      <c r="D223" s="6" t="s">
        <v>8</v>
      </c>
      <c r="E223" s="6" t="s">
        <v>316</v>
      </c>
      <c r="F223" s="10">
        <v>37727</v>
      </c>
      <c r="G223" s="12">
        <v>25</v>
      </c>
      <c r="H223" s="8">
        <v>207482</v>
      </c>
      <c r="I223" s="6" t="str" cm="1">
        <f t="array" ref="I223">_xlfn.IFS(C223&gt;50,"50+",C223&gt;=30,"30-50",C223&lt;30,"Under 30")</f>
        <v>50+</v>
      </c>
      <c r="J223" s="6" t="str" cm="1">
        <f t="array" ref="J223">_xlfn.IFS(H223&gt;200000,"2 Lakhs +",H223&gt;=100000,"1-2 Lakhs",H223&lt;100000,"Below 1 Lakhs")</f>
        <v>2 Lakhs +</v>
      </c>
    </row>
    <row r="224" spans="1:10" x14ac:dyDescent="0.25">
      <c r="A224" s="12">
        <v>223</v>
      </c>
      <c r="B224" s="6">
        <v>2577</v>
      </c>
      <c r="C224" s="12">
        <v>39</v>
      </c>
      <c r="D224" s="6" t="s">
        <v>13</v>
      </c>
      <c r="E224" s="6" t="s">
        <v>316</v>
      </c>
      <c r="F224" s="10">
        <v>44475</v>
      </c>
      <c r="G224" s="12">
        <v>19</v>
      </c>
      <c r="H224" s="8">
        <v>144587</v>
      </c>
      <c r="I224" s="6" t="str" cm="1">
        <f t="array" ref="I224">_xlfn.IFS(C224&gt;50,"50+",C224&gt;=30,"30-50",C224&lt;30,"Under 30")</f>
        <v>30-50</v>
      </c>
      <c r="J224" s="6" t="str" cm="1">
        <f t="array" ref="J224">_xlfn.IFS(H224&gt;200000,"2 Lakhs +",H224&gt;=100000,"1-2 Lakhs",H224&lt;100000,"Below 1 Lakhs")</f>
        <v>1-2 Lakhs</v>
      </c>
    </row>
    <row r="225" spans="1:10" x14ac:dyDescent="0.25">
      <c r="A225" s="12">
        <v>224</v>
      </c>
      <c r="B225" s="6">
        <v>7746</v>
      </c>
      <c r="C225" s="12">
        <v>41</v>
      </c>
      <c r="D225" s="6" t="s">
        <v>10</v>
      </c>
      <c r="E225" s="6" t="s">
        <v>317</v>
      </c>
      <c r="F225" s="10">
        <v>27970</v>
      </c>
      <c r="G225" s="12">
        <v>22</v>
      </c>
      <c r="H225" s="8">
        <v>179459</v>
      </c>
      <c r="I225" s="6" t="str" cm="1">
        <f t="array" ref="I225">_xlfn.IFS(C225&gt;50,"50+",C225&gt;=30,"30-50",C225&lt;30,"Under 30")</f>
        <v>30-50</v>
      </c>
      <c r="J225" s="6" t="str" cm="1">
        <f t="array" ref="J225">_xlfn.IFS(H225&gt;200000,"2 Lakhs +",H225&gt;=100000,"1-2 Lakhs",H225&lt;100000,"Below 1 Lakhs")</f>
        <v>1-2 Lakhs</v>
      </c>
    </row>
    <row r="226" spans="1:10" x14ac:dyDescent="0.25">
      <c r="A226" s="12">
        <v>225</v>
      </c>
      <c r="B226" s="6">
        <v>5622</v>
      </c>
      <c r="C226" s="12">
        <v>59</v>
      </c>
      <c r="D226" s="6" t="s">
        <v>17</v>
      </c>
      <c r="E226" s="6" t="s">
        <v>316</v>
      </c>
      <c r="F226" s="10">
        <v>29196</v>
      </c>
      <c r="G226" s="12">
        <v>30</v>
      </c>
      <c r="H226" s="8">
        <v>235895</v>
      </c>
      <c r="I226" s="6" t="str" cm="1">
        <f t="array" ref="I226">_xlfn.IFS(C226&gt;50,"50+",C226&gt;=30,"30-50",C226&lt;30,"Under 30")</f>
        <v>50+</v>
      </c>
      <c r="J226" s="6" t="str" cm="1">
        <f t="array" ref="J226">_xlfn.IFS(H226&gt;200000,"2 Lakhs +",H226&gt;=100000,"1-2 Lakhs",H226&lt;100000,"Below 1 Lakhs")</f>
        <v>2 Lakhs +</v>
      </c>
    </row>
    <row r="227" spans="1:10" x14ac:dyDescent="0.25">
      <c r="A227" s="12">
        <v>226</v>
      </c>
      <c r="B227" s="6">
        <v>4002</v>
      </c>
      <c r="C227" s="12">
        <v>26</v>
      </c>
      <c r="D227" s="6" t="s">
        <v>13</v>
      </c>
      <c r="E227" s="6" t="s">
        <v>316</v>
      </c>
      <c r="F227" s="10">
        <v>38900</v>
      </c>
      <c r="G227" s="12">
        <v>17</v>
      </c>
      <c r="H227" s="8">
        <v>134299</v>
      </c>
      <c r="I227" s="6" t="str" cm="1">
        <f t="array" ref="I227">_xlfn.IFS(C227&gt;50,"50+",C227&gt;=30,"30-50",C227&lt;30,"Under 30")</f>
        <v>Under 30</v>
      </c>
      <c r="J227" s="6" t="str" cm="1">
        <f t="array" ref="J227">_xlfn.IFS(H227&gt;200000,"2 Lakhs +",H227&gt;=100000,"1-2 Lakhs",H227&lt;100000,"Below 1 Lakhs")</f>
        <v>1-2 Lakhs</v>
      </c>
    </row>
    <row r="228" spans="1:10" x14ac:dyDescent="0.25">
      <c r="A228" s="12">
        <v>227</v>
      </c>
      <c r="B228" s="6">
        <v>1643</v>
      </c>
      <c r="C228" s="12">
        <v>34</v>
      </c>
      <c r="D228" s="6" t="s">
        <v>10</v>
      </c>
      <c r="E228" s="6" t="s">
        <v>317</v>
      </c>
      <c r="F228" s="10">
        <v>28584</v>
      </c>
      <c r="G228" s="12">
        <v>17</v>
      </c>
      <c r="H228" s="8">
        <v>134991</v>
      </c>
      <c r="I228" s="6" t="str" cm="1">
        <f t="array" ref="I228">_xlfn.IFS(C228&gt;50,"50+",C228&gt;=30,"30-50",C228&lt;30,"Under 30")</f>
        <v>30-50</v>
      </c>
      <c r="J228" s="6" t="str" cm="1">
        <f t="array" ref="J228">_xlfn.IFS(H228&gt;200000,"2 Lakhs +",H228&gt;=100000,"1-2 Lakhs",H228&lt;100000,"Below 1 Lakhs")</f>
        <v>1-2 Lakhs</v>
      </c>
    </row>
    <row r="229" spans="1:10" x14ac:dyDescent="0.25">
      <c r="A229" s="12">
        <v>228</v>
      </c>
      <c r="B229" s="6">
        <v>1459</v>
      </c>
      <c r="C229" s="12">
        <v>26</v>
      </c>
      <c r="D229" s="6" t="s">
        <v>10</v>
      </c>
      <c r="E229" s="6" t="s">
        <v>316</v>
      </c>
      <c r="F229" s="10">
        <v>44029</v>
      </c>
      <c r="G229" s="12">
        <v>11</v>
      </c>
      <c r="H229" s="8">
        <v>88841</v>
      </c>
      <c r="I229" s="6" t="str" cm="1">
        <f t="array" ref="I229">_xlfn.IFS(C229&gt;50,"50+",C229&gt;=30,"30-50",C229&lt;30,"Under 30")</f>
        <v>Under 30</v>
      </c>
      <c r="J229" s="6" t="str" cm="1">
        <f t="array" ref="J229">_xlfn.IFS(H229&gt;200000,"2 Lakhs +",H229&gt;=100000,"1-2 Lakhs",H229&lt;100000,"Below 1 Lakhs")</f>
        <v>Below 1 Lakhs</v>
      </c>
    </row>
    <row r="230" spans="1:10" x14ac:dyDescent="0.25">
      <c r="A230" s="12">
        <v>229</v>
      </c>
      <c r="B230" s="6">
        <v>3972</v>
      </c>
      <c r="C230" s="12">
        <v>44</v>
      </c>
      <c r="D230" s="6" t="s">
        <v>11</v>
      </c>
      <c r="E230" s="6" t="s">
        <v>316</v>
      </c>
      <c r="F230" s="10">
        <v>45452</v>
      </c>
      <c r="G230" s="12">
        <v>23</v>
      </c>
      <c r="H230" s="8">
        <v>184491</v>
      </c>
      <c r="I230" s="6" t="str" cm="1">
        <f t="array" ref="I230">_xlfn.IFS(C230&gt;50,"50+",C230&gt;=30,"30-50",C230&lt;30,"Under 30")</f>
        <v>30-50</v>
      </c>
      <c r="J230" s="6" t="str" cm="1">
        <f t="array" ref="J230">_xlfn.IFS(H230&gt;200000,"2 Lakhs +",H230&gt;=100000,"1-2 Lakhs",H230&lt;100000,"Below 1 Lakhs")</f>
        <v>1-2 Lakhs</v>
      </c>
    </row>
    <row r="231" spans="1:10" x14ac:dyDescent="0.25">
      <c r="A231" s="12">
        <v>230</v>
      </c>
      <c r="B231" s="6">
        <v>2714</v>
      </c>
      <c r="C231" s="12">
        <v>43</v>
      </c>
      <c r="D231" s="6" t="s">
        <v>10</v>
      </c>
      <c r="E231" s="6" t="s">
        <v>317</v>
      </c>
      <c r="F231" s="10">
        <v>35278</v>
      </c>
      <c r="G231" s="12">
        <v>20</v>
      </c>
      <c r="H231" s="8">
        <v>154542</v>
      </c>
      <c r="I231" s="6" t="str" cm="1">
        <f t="array" ref="I231">_xlfn.IFS(C231&gt;50,"50+",C231&gt;=30,"30-50",C231&lt;30,"Under 30")</f>
        <v>30-50</v>
      </c>
      <c r="J231" s="6" t="str" cm="1">
        <f t="array" ref="J231">_xlfn.IFS(H231&gt;200000,"2 Lakhs +",H231&gt;=100000,"1-2 Lakhs",H231&lt;100000,"Below 1 Lakhs")</f>
        <v>1-2 Lakhs</v>
      </c>
    </row>
    <row r="232" spans="1:10" x14ac:dyDescent="0.25">
      <c r="A232" s="12">
        <v>231</v>
      </c>
      <c r="B232" s="6">
        <v>5785</v>
      </c>
      <c r="C232" s="12">
        <v>42</v>
      </c>
      <c r="D232" s="6" t="s">
        <v>11</v>
      </c>
      <c r="E232" s="6" t="s">
        <v>316</v>
      </c>
      <c r="F232" s="10">
        <v>39347</v>
      </c>
      <c r="G232" s="12">
        <v>20</v>
      </c>
      <c r="H232" s="8">
        <v>158115</v>
      </c>
      <c r="I232" s="6" t="str" cm="1">
        <f t="array" ref="I232">_xlfn.IFS(C232&gt;50,"50+",C232&gt;=30,"30-50",C232&lt;30,"Under 30")</f>
        <v>30-50</v>
      </c>
      <c r="J232" s="6" t="str" cm="1">
        <f t="array" ref="J232">_xlfn.IFS(H232&gt;200000,"2 Lakhs +",H232&gt;=100000,"1-2 Lakhs",H232&lt;100000,"Below 1 Lakhs")</f>
        <v>1-2 Lakhs</v>
      </c>
    </row>
    <row r="233" spans="1:10" x14ac:dyDescent="0.25">
      <c r="A233" s="12">
        <v>232</v>
      </c>
      <c r="B233" s="6">
        <v>5746</v>
      </c>
      <c r="C233" s="12">
        <v>36</v>
      </c>
      <c r="D233" s="6" t="s">
        <v>11</v>
      </c>
      <c r="E233" s="6" t="s">
        <v>316</v>
      </c>
      <c r="F233" s="10">
        <v>32197</v>
      </c>
      <c r="G233" s="12">
        <v>14</v>
      </c>
      <c r="H233" s="8">
        <v>113899</v>
      </c>
      <c r="I233" s="6" t="str" cm="1">
        <f t="array" ref="I233">_xlfn.IFS(C233&gt;50,"50+",C233&gt;=30,"30-50",C233&lt;30,"Under 30")</f>
        <v>30-50</v>
      </c>
      <c r="J233" s="6" t="str" cm="1">
        <f t="array" ref="J233">_xlfn.IFS(H233&gt;200000,"2 Lakhs +",H233&gt;=100000,"1-2 Lakhs",H233&lt;100000,"Below 1 Lakhs")</f>
        <v>1-2 Lakhs</v>
      </c>
    </row>
    <row r="234" spans="1:10" x14ac:dyDescent="0.25">
      <c r="A234" s="12">
        <v>233</v>
      </c>
      <c r="B234" s="6">
        <v>9400</v>
      </c>
      <c r="C234" s="12">
        <v>25</v>
      </c>
      <c r="D234" s="6" t="s">
        <v>10</v>
      </c>
      <c r="E234" s="6" t="s">
        <v>316</v>
      </c>
      <c r="F234" s="10">
        <v>35473</v>
      </c>
      <c r="G234" s="12">
        <v>10</v>
      </c>
      <c r="H234" s="8">
        <v>85343</v>
      </c>
      <c r="I234" s="6" t="str" cm="1">
        <f t="array" ref="I234">_xlfn.IFS(C234&gt;50,"50+",C234&gt;=30,"30-50",C234&lt;30,"Under 30")</f>
        <v>Under 30</v>
      </c>
      <c r="J234" s="6" t="str" cm="1">
        <f t="array" ref="J234">_xlfn.IFS(H234&gt;200000,"2 Lakhs +",H234&gt;=100000,"1-2 Lakhs",H234&lt;100000,"Below 1 Lakhs")</f>
        <v>Below 1 Lakhs</v>
      </c>
    </row>
    <row r="235" spans="1:10" x14ac:dyDescent="0.25">
      <c r="A235" s="12">
        <v>234</v>
      </c>
      <c r="B235" s="6">
        <v>4676</v>
      </c>
      <c r="C235" s="12">
        <v>36</v>
      </c>
      <c r="D235" s="6" t="s">
        <v>10</v>
      </c>
      <c r="E235" s="6" t="s">
        <v>317</v>
      </c>
      <c r="F235" s="10">
        <v>26451</v>
      </c>
      <c r="G235" s="12">
        <v>18</v>
      </c>
      <c r="H235" s="8">
        <v>139873</v>
      </c>
      <c r="I235" s="6" t="str" cm="1">
        <f t="array" ref="I235">_xlfn.IFS(C235&gt;50,"50+",C235&gt;=30,"30-50",C235&lt;30,"Under 30")</f>
        <v>30-50</v>
      </c>
      <c r="J235" s="6" t="str" cm="1">
        <f t="array" ref="J235">_xlfn.IFS(H235&gt;200000,"2 Lakhs +",H235&gt;=100000,"1-2 Lakhs",H235&lt;100000,"Below 1 Lakhs")</f>
        <v>1-2 Lakhs</v>
      </c>
    </row>
    <row r="236" spans="1:10" x14ac:dyDescent="0.25">
      <c r="A236" s="12">
        <v>235</v>
      </c>
      <c r="B236" s="6">
        <v>9846</v>
      </c>
      <c r="C236" s="12">
        <v>61</v>
      </c>
      <c r="D236" s="6" t="s">
        <v>10</v>
      </c>
      <c r="E236" s="6" t="s">
        <v>316</v>
      </c>
      <c r="F236" s="10">
        <v>29533</v>
      </c>
      <c r="G236" s="12">
        <v>30</v>
      </c>
      <c r="H236" s="8">
        <v>246725</v>
      </c>
      <c r="I236" s="6" t="str" cm="1">
        <f t="array" ref="I236">_xlfn.IFS(C236&gt;50,"50+",C236&gt;=30,"30-50",C236&lt;30,"Under 30")</f>
        <v>50+</v>
      </c>
      <c r="J236" s="6" t="str" cm="1">
        <f t="array" ref="J236">_xlfn.IFS(H236&gt;200000,"2 Lakhs +",H236&gt;=100000,"1-2 Lakhs",H236&lt;100000,"Below 1 Lakhs")</f>
        <v>2 Lakhs +</v>
      </c>
    </row>
    <row r="237" spans="1:10" x14ac:dyDescent="0.25">
      <c r="A237" s="12">
        <v>236</v>
      </c>
      <c r="B237" s="6">
        <v>9108</v>
      </c>
      <c r="C237" s="12">
        <v>57</v>
      </c>
      <c r="D237" s="6" t="s">
        <v>10</v>
      </c>
      <c r="E237" s="6" t="s">
        <v>316</v>
      </c>
      <c r="F237" s="10">
        <v>41034</v>
      </c>
      <c r="G237" s="12">
        <v>27</v>
      </c>
      <c r="H237" s="8">
        <v>226201</v>
      </c>
      <c r="I237" s="6" t="str" cm="1">
        <f t="array" ref="I237">_xlfn.IFS(C237&gt;50,"50+",C237&gt;=30,"30-50",C237&lt;30,"Under 30")</f>
        <v>50+</v>
      </c>
      <c r="J237" s="6" t="str" cm="1">
        <f t="array" ref="J237">_xlfn.IFS(H237&gt;200000,"2 Lakhs +",H237&gt;=100000,"1-2 Lakhs",H237&lt;100000,"Below 1 Lakhs")</f>
        <v>2 Lakhs +</v>
      </c>
    </row>
    <row r="238" spans="1:10" x14ac:dyDescent="0.25">
      <c r="A238" s="12">
        <v>237</v>
      </c>
      <c r="B238" s="6">
        <v>3158</v>
      </c>
      <c r="C238" s="12">
        <v>51</v>
      </c>
      <c r="D238" s="6" t="s">
        <v>8</v>
      </c>
      <c r="E238" s="6" t="s">
        <v>317</v>
      </c>
      <c r="F238" s="10">
        <v>40347</v>
      </c>
      <c r="G238" s="12">
        <v>27</v>
      </c>
      <c r="H238" s="8">
        <v>212105</v>
      </c>
      <c r="I238" s="6" t="str" cm="1">
        <f t="array" ref="I238">_xlfn.IFS(C238&gt;50,"50+",C238&gt;=30,"30-50",C238&lt;30,"Under 30")</f>
        <v>50+</v>
      </c>
      <c r="J238" s="6" t="str" cm="1">
        <f t="array" ref="J238">_xlfn.IFS(H238&gt;200000,"2 Lakhs +",H238&gt;=100000,"1-2 Lakhs",H238&lt;100000,"Below 1 Lakhs")</f>
        <v>2 Lakhs +</v>
      </c>
    </row>
    <row r="239" spans="1:10" x14ac:dyDescent="0.25">
      <c r="A239" s="12">
        <v>238</v>
      </c>
      <c r="B239" s="6">
        <v>7361</v>
      </c>
      <c r="C239" s="12">
        <v>35</v>
      </c>
      <c r="D239" s="6" t="s">
        <v>11</v>
      </c>
      <c r="E239" s="6" t="s">
        <v>316</v>
      </c>
      <c r="F239" s="10">
        <v>26495</v>
      </c>
      <c r="G239" s="12">
        <v>18</v>
      </c>
      <c r="H239" s="8">
        <v>149179</v>
      </c>
      <c r="I239" s="6" t="str" cm="1">
        <f t="array" ref="I239">_xlfn.IFS(C239&gt;50,"50+",C239&gt;=30,"30-50",C239&lt;30,"Under 30")</f>
        <v>30-50</v>
      </c>
      <c r="J239" s="6" t="str" cm="1">
        <f t="array" ref="J239">_xlfn.IFS(H239&gt;200000,"2 Lakhs +",H239&gt;=100000,"1-2 Lakhs",H239&lt;100000,"Below 1 Lakhs")</f>
        <v>1-2 Lakhs</v>
      </c>
    </row>
    <row r="240" spans="1:10" x14ac:dyDescent="0.25">
      <c r="A240" s="12">
        <v>239</v>
      </c>
      <c r="B240" s="6">
        <v>1959</v>
      </c>
      <c r="C240" s="12">
        <v>36</v>
      </c>
      <c r="D240" s="6" t="s">
        <v>10</v>
      </c>
      <c r="E240" s="6" t="s">
        <v>316</v>
      </c>
      <c r="F240" s="10">
        <v>25606</v>
      </c>
      <c r="G240" s="12">
        <v>15</v>
      </c>
      <c r="H240" s="8">
        <v>115898</v>
      </c>
      <c r="I240" s="6" t="str" cm="1">
        <f t="array" ref="I240">_xlfn.IFS(C240&gt;50,"50+",C240&gt;=30,"30-50",C240&lt;30,"Under 30")</f>
        <v>30-50</v>
      </c>
      <c r="J240" s="6" t="str" cm="1">
        <f t="array" ref="J240">_xlfn.IFS(H240&gt;200000,"2 Lakhs +",H240&gt;=100000,"1-2 Lakhs",H240&lt;100000,"Below 1 Lakhs")</f>
        <v>1-2 Lakhs</v>
      </c>
    </row>
    <row r="241" spans="1:10" x14ac:dyDescent="0.25">
      <c r="A241" s="12">
        <v>240</v>
      </c>
      <c r="B241" s="6">
        <v>9340</v>
      </c>
      <c r="C241" s="12">
        <v>64</v>
      </c>
      <c r="D241" s="6" t="s">
        <v>10</v>
      </c>
      <c r="E241" s="6" t="s">
        <v>317</v>
      </c>
      <c r="F241" s="10">
        <v>29698</v>
      </c>
      <c r="G241" s="12">
        <v>30</v>
      </c>
      <c r="H241" s="8">
        <v>245207</v>
      </c>
      <c r="I241" s="6" t="str" cm="1">
        <f t="array" ref="I241">_xlfn.IFS(C241&gt;50,"50+",C241&gt;=30,"30-50",C241&lt;30,"Under 30")</f>
        <v>50+</v>
      </c>
      <c r="J241" s="6" t="str" cm="1">
        <f t="array" ref="J241">_xlfn.IFS(H241&gt;200000,"2 Lakhs +",H241&gt;=100000,"1-2 Lakhs",H241&lt;100000,"Below 1 Lakhs")</f>
        <v>2 Lakhs +</v>
      </c>
    </row>
    <row r="242" spans="1:10" x14ac:dyDescent="0.25">
      <c r="A242" s="12">
        <v>241</v>
      </c>
      <c r="B242" s="6">
        <v>9605</v>
      </c>
      <c r="C242" s="12">
        <v>48</v>
      </c>
      <c r="D242" s="6" t="s">
        <v>10</v>
      </c>
      <c r="E242" s="6" t="s">
        <v>316</v>
      </c>
      <c r="F242" s="10">
        <v>27390</v>
      </c>
      <c r="G242" s="12">
        <v>21</v>
      </c>
      <c r="H242" s="8">
        <v>163924</v>
      </c>
      <c r="I242" s="6" t="str" cm="1">
        <f t="array" ref="I242">_xlfn.IFS(C242&gt;50,"50+",C242&gt;=30,"30-50",C242&lt;30,"Under 30")</f>
        <v>30-50</v>
      </c>
      <c r="J242" s="6" t="str" cm="1">
        <f t="array" ref="J242">_xlfn.IFS(H242&gt;200000,"2 Lakhs +",H242&gt;=100000,"1-2 Lakhs",H242&lt;100000,"Below 1 Lakhs")</f>
        <v>1-2 Lakhs</v>
      </c>
    </row>
    <row r="243" spans="1:10" x14ac:dyDescent="0.25">
      <c r="A243" s="12">
        <v>242</v>
      </c>
      <c r="B243" s="6">
        <v>3361</v>
      </c>
      <c r="C243" s="12">
        <v>46</v>
      </c>
      <c r="D243" s="6" t="s">
        <v>11</v>
      </c>
      <c r="E243" s="6" t="s">
        <v>316</v>
      </c>
      <c r="F243" s="10">
        <v>28903</v>
      </c>
      <c r="G243" s="12">
        <v>22</v>
      </c>
      <c r="H243" s="8">
        <v>172224</v>
      </c>
      <c r="I243" s="6" t="str" cm="1">
        <f t="array" ref="I243">_xlfn.IFS(C243&gt;50,"50+",C243&gt;=30,"30-50",C243&lt;30,"Under 30")</f>
        <v>30-50</v>
      </c>
      <c r="J243" s="6" t="str" cm="1">
        <f t="array" ref="J243">_xlfn.IFS(H243&gt;200000,"2 Lakhs +",H243&gt;=100000,"1-2 Lakhs",H243&lt;100000,"Below 1 Lakhs")</f>
        <v>1-2 Lakhs</v>
      </c>
    </row>
    <row r="244" spans="1:10" x14ac:dyDescent="0.25">
      <c r="A244" s="12">
        <v>243</v>
      </c>
      <c r="B244" s="6">
        <v>4662</v>
      </c>
      <c r="C244" s="12">
        <v>38</v>
      </c>
      <c r="D244" s="6" t="s">
        <v>13</v>
      </c>
      <c r="E244" s="6" t="s">
        <v>317</v>
      </c>
      <c r="F244" s="10">
        <v>38894</v>
      </c>
      <c r="G244" s="12">
        <v>19</v>
      </c>
      <c r="H244" s="8">
        <v>144990</v>
      </c>
      <c r="I244" s="6" t="str" cm="1">
        <f t="array" ref="I244">_xlfn.IFS(C244&gt;50,"50+",C244&gt;=30,"30-50",C244&lt;30,"Under 30")</f>
        <v>30-50</v>
      </c>
      <c r="J244" s="6" t="str" cm="1">
        <f t="array" ref="J244">_xlfn.IFS(H244&gt;200000,"2 Lakhs +",H244&gt;=100000,"1-2 Lakhs",H244&lt;100000,"Below 1 Lakhs")</f>
        <v>1-2 Lakhs</v>
      </c>
    </row>
    <row r="245" spans="1:10" x14ac:dyDescent="0.25">
      <c r="A245" s="12">
        <v>244</v>
      </c>
      <c r="B245" s="6">
        <v>4844</v>
      </c>
      <c r="C245" s="12">
        <v>47</v>
      </c>
      <c r="D245" s="6" t="s">
        <v>10</v>
      </c>
      <c r="E245" s="6" t="s">
        <v>317</v>
      </c>
      <c r="F245" s="10">
        <v>37052</v>
      </c>
      <c r="G245" s="12">
        <v>22</v>
      </c>
      <c r="H245" s="8">
        <v>170676</v>
      </c>
      <c r="I245" s="6" t="str" cm="1">
        <f t="array" ref="I245">_xlfn.IFS(C245&gt;50,"50+",C245&gt;=30,"30-50",C245&lt;30,"Under 30")</f>
        <v>30-50</v>
      </c>
      <c r="J245" s="6" t="str" cm="1">
        <f t="array" ref="J245">_xlfn.IFS(H245&gt;200000,"2 Lakhs +",H245&gt;=100000,"1-2 Lakhs",H245&lt;100000,"Below 1 Lakhs")</f>
        <v>1-2 Lakhs</v>
      </c>
    </row>
    <row r="246" spans="1:10" x14ac:dyDescent="0.25">
      <c r="A246" s="12">
        <v>245</v>
      </c>
      <c r="B246" s="6">
        <v>6788</v>
      </c>
      <c r="C246" s="12">
        <v>39</v>
      </c>
      <c r="D246" s="6" t="s">
        <v>11</v>
      </c>
      <c r="E246" s="6" t="s">
        <v>317</v>
      </c>
      <c r="F246" s="10">
        <v>45929</v>
      </c>
      <c r="G246" s="12">
        <v>22</v>
      </c>
      <c r="H246" s="8">
        <v>181837</v>
      </c>
      <c r="I246" s="6" t="str" cm="1">
        <f t="array" ref="I246">_xlfn.IFS(C246&gt;50,"50+",C246&gt;=30,"30-50",C246&lt;30,"Under 30")</f>
        <v>30-50</v>
      </c>
      <c r="J246" s="6" t="str" cm="1">
        <f t="array" ref="J246">_xlfn.IFS(H246&gt;200000,"2 Lakhs +",H246&gt;=100000,"1-2 Lakhs",H246&lt;100000,"Below 1 Lakhs")</f>
        <v>1-2 Lakhs</v>
      </c>
    </row>
    <row r="247" spans="1:10" x14ac:dyDescent="0.25">
      <c r="A247" s="12">
        <v>246</v>
      </c>
      <c r="B247" s="6">
        <v>4450</v>
      </c>
      <c r="C247" s="12">
        <v>42</v>
      </c>
      <c r="D247" s="6" t="s">
        <v>17</v>
      </c>
      <c r="E247" s="6" t="s">
        <v>316</v>
      </c>
      <c r="F247" s="10">
        <v>33415</v>
      </c>
      <c r="G247" s="12">
        <v>18</v>
      </c>
      <c r="H247" s="8">
        <v>133509</v>
      </c>
      <c r="I247" s="6" t="str" cm="1">
        <f t="array" ref="I247">_xlfn.IFS(C247&gt;50,"50+",C247&gt;=30,"30-50",C247&lt;30,"Under 30")</f>
        <v>30-50</v>
      </c>
      <c r="J247" s="6" t="str" cm="1">
        <f t="array" ref="J247">_xlfn.IFS(H247&gt;200000,"2 Lakhs +",H247&gt;=100000,"1-2 Lakhs",H247&lt;100000,"Below 1 Lakhs")</f>
        <v>1-2 Lakhs</v>
      </c>
    </row>
    <row r="248" spans="1:10" x14ac:dyDescent="0.25">
      <c r="A248" s="12">
        <v>247</v>
      </c>
      <c r="B248" s="6">
        <v>9076</v>
      </c>
      <c r="C248" s="12">
        <v>58</v>
      </c>
      <c r="D248" s="6" t="s">
        <v>13</v>
      </c>
      <c r="E248" s="6" t="s">
        <v>316</v>
      </c>
      <c r="F248" s="10">
        <v>31168</v>
      </c>
      <c r="G248" s="12">
        <v>29</v>
      </c>
      <c r="H248" s="8">
        <v>234402</v>
      </c>
      <c r="I248" s="6" t="str" cm="1">
        <f t="array" ref="I248">_xlfn.IFS(C248&gt;50,"50+",C248&gt;=30,"30-50",C248&lt;30,"Under 30")</f>
        <v>50+</v>
      </c>
      <c r="J248" s="6" t="str" cm="1">
        <f t="array" ref="J248">_xlfn.IFS(H248&gt;200000,"2 Lakhs +",H248&gt;=100000,"1-2 Lakhs",H248&lt;100000,"Below 1 Lakhs")</f>
        <v>2 Lakhs +</v>
      </c>
    </row>
    <row r="249" spans="1:10" x14ac:dyDescent="0.25">
      <c r="A249" s="12">
        <v>248</v>
      </c>
      <c r="B249" s="6">
        <v>8936</v>
      </c>
      <c r="C249" s="12">
        <v>46</v>
      </c>
      <c r="D249" s="6" t="s">
        <v>11</v>
      </c>
      <c r="E249" s="6" t="s">
        <v>316</v>
      </c>
      <c r="F249" s="10">
        <v>38360</v>
      </c>
      <c r="G249" s="12">
        <v>20</v>
      </c>
      <c r="H249" s="8">
        <v>165971</v>
      </c>
      <c r="I249" s="6" t="str" cm="1">
        <f t="array" ref="I249">_xlfn.IFS(C249&gt;50,"50+",C249&gt;=30,"30-50",C249&lt;30,"Under 30")</f>
        <v>30-50</v>
      </c>
      <c r="J249" s="6" t="str" cm="1">
        <f t="array" ref="J249">_xlfn.IFS(H249&gt;200000,"2 Lakhs +",H249&gt;=100000,"1-2 Lakhs",H249&lt;100000,"Below 1 Lakhs")</f>
        <v>1-2 Lakhs</v>
      </c>
    </row>
    <row r="250" spans="1:10" x14ac:dyDescent="0.25">
      <c r="A250" s="12">
        <v>249</v>
      </c>
      <c r="B250" s="6">
        <v>3578</v>
      </c>
      <c r="C250" s="12">
        <v>31</v>
      </c>
      <c r="D250" s="6" t="s">
        <v>17</v>
      </c>
      <c r="E250" s="6" t="s">
        <v>316</v>
      </c>
      <c r="F250" s="10">
        <v>34361</v>
      </c>
      <c r="G250" s="12">
        <v>13</v>
      </c>
      <c r="H250" s="8">
        <v>105359</v>
      </c>
      <c r="I250" s="6" t="str" cm="1">
        <f t="array" ref="I250">_xlfn.IFS(C250&gt;50,"50+",C250&gt;=30,"30-50",C250&lt;30,"Under 30")</f>
        <v>30-50</v>
      </c>
      <c r="J250" s="6" t="str" cm="1">
        <f t="array" ref="J250">_xlfn.IFS(H250&gt;200000,"2 Lakhs +",H250&gt;=100000,"1-2 Lakhs",H250&lt;100000,"Below 1 Lakhs")</f>
        <v>1-2 Lakhs</v>
      </c>
    </row>
    <row r="251" spans="1:10" x14ac:dyDescent="0.25">
      <c r="A251" s="12">
        <v>250</v>
      </c>
      <c r="B251" s="6">
        <v>5624</v>
      </c>
      <c r="C251" s="12">
        <v>22</v>
      </c>
      <c r="D251" s="6" t="s">
        <v>17</v>
      </c>
      <c r="E251" s="6" t="s">
        <v>317</v>
      </c>
      <c r="F251" s="10">
        <v>30364</v>
      </c>
      <c r="G251" s="12">
        <v>13</v>
      </c>
      <c r="H251" s="8">
        <v>94383</v>
      </c>
      <c r="I251" s="6" t="str" cm="1">
        <f t="array" ref="I251">_xlfn.IFS(C251&gt;50,"50+",C251&gt;=30,"30-50",C251&lt;30,"Under 30")</f>
        <v>Under 30</v>
      </c>
      <c r="J251" s="6" t="str" cm="1">
        <f t="array" ref="J251">_xlfn.IFS(H251&gt;200000,"2 Lakhs +",H251&gt;=100000,"1-2 Lakhs",H251&lt;100000,"Below 1 Lakhs")</f>
        <v>Below 1 Lakhs</v>
      </c>
    </row>
    <row r="252" spans="1:10" x14ac:dyDescent="0.25">
      <c r="A252" s="12">
        <v>251</v>
      </c>
      <c r="B252" s="6">
        <v>3793</v>
      </c>
      <c r="C252" s="12">
        <v>51</v>
      </c>
      <c r="D252" s="6" t="s">
        <v>17</v>
      </c>
      <c r="E252" s="6" t="s">
        <v>316</v>
      </c>
      <c r="F252" s="10">
        <v>44986</v>
      </c>
      <c r="G252" s="12">
        <v>24</v>
      </c>
      <c r="H252" s="8">
        <v>198528</v>
      </c>
      <c r="I252" s="6" t="str" cm="1">
        <f t="array" ref="I252">_xlfn.IFS(C252&gt;50,"50+",C252&gt;=30,"30-50",C252&lt;30,"Under 30")</f>
        <v>50+</v>
      </c>
      <c r="J252" s="6" t="str" cm="1">
        <f t="array" ref="J252">_xlfn.IFS(H252&gt;200000,"2 Lakhs +",H252&gt;=100000,"1-2 Lakhs",H252&lt;100000,"Below 1 Lakhs")</f>
        <v>1-2 Lakhs</v>
      </c>
    </row>
    <row r="253" spans="1:10" x14ac:dyDescent="0.25">
      <c r="A253" s="12">
        <v>252</v>
      </c>
      <c r="B253" s="6">
        <v>1804</v>
      </c>
      <c r="C253" s="12">
        <v>62</v>
      </c>
      <c r="D253" s="6" t="s">
        <v>17</v>
      </c>
      <c r="E253" s="6" t="s">
        <v>317</v>
      </c>
      <c r="F253" s="10">
        <v>38657</v>
      </c>
      <c r="G253" s="12">
        <v>31</v>
      </c>
      <c r="H253" s="8">
        <v>242369</v>
      </c>
      <c r="I253" s="6" t="str" cm="1">
        <f t="array" ref="I253">_xlfn.IFS(C253&gt;50,"50+",C253&gt;=30,"30-50",C253&lt;30,"Under 30")</f>
        <v>50+</v>
      </c>
      <c r="J253" s="6" t="str" cm="1">
        <f t="array" ref="J253">_xlfn.IFS(H253&gt;200000,"2 Lakhs +",H253&gt;=100000,"1-2 Lakhs",H253&lt;100000,"Below 1 Lakhs")</f>
        <v>2 Lakhs +</v>
      </c>
    </row>
    <row r="254" spans="1:10" x14ac:dyDescent="0.25">
      <c r="A254" s="12">
        <v>253</v>
      </c>
      <c r="B254" s="6">
        <v>5169</v>
      </c>
      <c r="C254" s="12">
        <v>52</v>
      </c>
      <c r="D254" s="6" t="s">
        <v>17</v>
      </c>
      <c r="E254" s="6" t="s">
        <v>317</v>
      </c>
      <c r="F254" s="10">
        <v>39705</v>
      </c>
      <c r="G254" s="12">
        <v>23</v>
      </c>
      <c r="H254" s="8">
        <v>182226</v>
      </c>
      <c r="I254" s="6" t="str" cm="1">
        <f t="array" ref="I254">_xlfn.IFS(C254&gt;50,"50+",C254&gt;=30,"30-50",C254&lt;30,"Under 30")</f>
        <v>50+</v>
      </c>
      <c r="J254" s="6" t="str" cm="1">
        <f t="array" ref="J254">_xlfn.IFS(H254&gt;200000,"2 Lakhs +",H254&gt;=100000,"1-2 Lakhs",H254&lt;100000,"Below 1 Lakhs")</f>
        <v>1-2 Lakhs</v>
      </c>
    </row>
    <row r="255" spans="1:10" x14ac:dyDescent="0.25">
      <c r="A255" s="12">
        <v>254</v>
      </c>
      <c r="B255" s="6">
        <v>7658</v>
      </c>
      <c r="C255" s="12">
        <v>27</v>
      </c>
      <c r="D255" s="6" t="s">
        <v>13</v>
      </c>
      <c r="E255" s="6" t="s">
        <v>316</v>
      </c>
      <c r="F255" s="10">
        <v>35265</v>
      </c>
      <c r="G255" s="12">
        <v>11</v>
      </c>
      <c r="H255" s="8">
        <v>88117</v>
      </c>
      <c r="I255" s="6" t="str" cm="1">
        <f t="array" ref="I255">_xlfn.IFS(C255&gt;50,"50+",C255&gt;=30,"30-50",C255&lt;30,"Under 30")</f>
        <v>Under 30</v>
      </c>
      <c r="J255" s="6" t="str" cm="1">
        <f t="array" ref="J255">_xlfn.IFS(H255&gt;200000,"2 Lakhs +",H255&gt;=100000,"1-2 Lakhs",H255&lt;100000,"Below 1 Lakhs")</f>
        <v>Below 1 Lakhs</v>
      </c>
    </row>
    <row r="256" spans="1:10" x14ac:dyDescent="0.25">
      <c r="A256" s="12">
        <v>255</v>
      </c>
      <c r="B256" s="6">
        <v>3417</v>
      </c>
      <c r="C256" s="12">
        <v>54</v>
      </c>
      <c r="D256" s="6" t="s">
        <v>11</v>
      </c>
      <c r="E256" s="6" t="s">
        <v>317</v>
      </c>
      <c r="F256" s="10">
        <v>37514</v>
      </c>
      <c r="G256" s="12">
        <v>30</v>
      </c>
      <c r="H256" s="8">
        <v>242515</v>
      </c>
      <c r="I256" s="6" t="str" cm="1">
        <f t="array" ref="I256">_xlfn.IFS(C256&gt;50,"50+",C256&gt;=30,"30-50",C256&lt;30,"Under 30")</f>
        <v>50+</v>
      </c>
      <c r="J256" s="6" t="str" cm="1">
        <f t="array" ref="J256">_xlfn.IFS(H256&gt;200000,"2 Lakhs +",H256&gt;=100000,"1-2 Lakhs",H256&lt;100000,"Below 1 Lakhs")</f>
        <v>2 Lakhs +</v>
      </c>
    </row>
    <row r="257" spans="1:10" x14ac:dyDescent="0.25">
      <c r="A257" s="12">
        <v>256</v>
      </c>
      <c r="B257" s="6">
        <v>4801</v>
      </c>
      <c r="C257" s="12">
        <v>62</v>
      </c>
      <c r="D257" s="6" t="s">
        <v>8</v>
      </c>
      <c r="E257" s="6" t="s">
        <v>316</v>
      </c>
      <c r="F257" s="10">
        <v>40130</v>
      </c>
      <c r="G257" s="12">
        <v>35</v>
      </c>
      <c r="H257" s="8">
        <v>281861</v>
      </c>
      <c r="I257" s="6" t="str" cm="1">
        <f t="array" ref="I257">_xlfn.IFS(C257&gt;50,"50+",C257&gt;=30,"30-50",C257&lt;30,"Under 30")</f>
        <v>50+</v>
      </c>
      <c r="J257" s="6" t="str" cm="1">
        <f t="array" ref="J257">_xlfn.IFS(H257&gt;200000,"2 Lakhs +",H257&gt;=100000,"1-2 Lakhs",H257&lt;100000,"Below 1 Lakhs")</f>
        <v>2 Lakhs +</v>
      </c>
    </row>
    <row r="258" spans="1:10" x14ac:dyDescent="0.25">
      <c r="A258" s="12">
        <v>257</v>
      </c>
      <c r="B258" s="6">
        <v>2427</v>
      </c>
      <c r="C258" s="12">
        <v>61</v>
      </c>
      <c r="D258" s="6" t="s">
        <v>17</v>
      </c>
      <c r="E258" s="6" t="s">
        <v>316</v>
      </c>
      <c r="F258" s="10">
        <v>27643</v>
      </c>
      <c r="G258" s="12">
        <v>31</v>
      </c>
      <c r="H258" s="8">
        <v>242118</v>
      </c>
      <c r="I258" s="6" t="str" cm="1">
        <f t="array" ref="I258">_xlfn.IFS(C258&gt;50,"50+",C258&gt;=30,"30-50",C258&lt;30,"Under 30")</f>
        <v>50+</v>
      </c>
      <c r="J258" s="6" t="str" cm="1">
        <f t="array" ref="J258">_xlfn.IFS(H258&gt;200000,"2 Lakhs +",H258&gt;=100000,"1-2 Lakhs",H258&lt;100000,"Below 1 Lakhs")</f>
        <v>2 Lakhs +</v>
      </c>
    </row>
    <row r="259" spans="1:10" x14ac:dyDescent="0.25">
      <c r="A259" s="12">
        <v>258</v>
      </c>
      <c r="B259" s="6">
        <v>4976</v>
      </c>
      <c r="C259" s="12">
        <v>48</v>
      </c>
      <c r="D259" s="6" t="s">
        <v>10</v>
      </c>
      <c r="E259" s="6" t="s">
        <v>317</v>
      </c>
      <c r="F259" s="10">
        <v>39883</v>
      </c>
      <c r="G259" s="12">
        <v>26</v>
      </c>
      <c r="H259" s="8">
        <v>209490</v>
      </c>
      <c r="I259" s="6" t="str" cm="1">
        <f t="array" ref="I259">_xlfn.IFS(C259&gt;50,"50+",C259&gt;=30,"30-50",C259&lt;30,"Under 30")</f>
        <v>30-50</v>
      </c>
      <c r="J259" s="6" t="str" cm="1">
        <f t="array" ref="J259">_xlfn.IFS(H259&gt;200000,"2 Lakhs +",H259&gt;=100000,"1-2 Lakhs",H259&lt;100000,"Below 1 Lakhs")</f>
        <v>2 Lakhs +</v>
      </c>
    </row>
    <row r="260" spans="1:10" x14ac:dyDescent="0.25">
      <c r="A260" s="12">
        <v>259</v>
      </c>
      <c r="B260" s="6">
        <v>2090</v>
      </c>
      <c r="C260" s="12">
        <v>26</v>
      </c>
      <c r="D260" s="6" t="s">
        <v>17</v>
      </c>
      <c r="E260" s="6" t="s">
        <v>316</v>
      </c>
      <c r="F260" s="10">
        <v>40438</v>
      </c>
      <c r="G260" s="12">
        <v>11</v>
      </c>
      <c r="H260" s="8">
        <v>89796</v>
      </c>
      <c r="I260" s="6" t="str" cm="1">
        <f t="array" ref="I260">_xlfn.IFS(C260&gt;50,"50+",C260&gt;=30,"30-50",C260&lt;30,"Under 30")</f>
        <v>Under 30</v>
      </c>
      <c r="J260" s="6" t="str" cm="1">
        <f t="array" ref="J260">_xlfn.IFS(H260&gt;200000,"2 Lakhs +",H260&gt;=100000,"1-2 Lakhs",H260&lt;100000,"Below 1 Lakhs")</f>
        <v>Below 1 Lakhs</v>
      </c>
    </row>
    <row r="261" spans="1:10" x14ac:dyDescent="0.25">
      <c r="A261" s="12">
        <v>260</v>
      </c>
      <c r="B261" s="6">
        <v>8575</v>
      </c>
      <c r="C261" s="12">
        <v>41</v>
      </c>
      <c r="D261" s="6" t="s">
        <v>8</v>
      </c>
      <c r="E261" s="6" t="s">
        <v>316</v>
      </c>
      <c r="F261" s="10">
        <v>33323</v>
      </c>
      <c r="G261" s="12">
        <v>17</v>
      </c>
      <c r="H261" s="8">
        <v>133309</v>
      </c>
      <c r="I261" s="6" t="str" cm="1">
        <f t="array" ref="I261">_xlfn.IFS(C261&gt;50,"50+",C261&gt;=30,"30-50",C261&lt;30,"Under 30")</f>
        <v>30-50</v>
      </c>
      <c r="J261" s="6" t="str" cm="1">
        <f t="array" ref="J261">_xlfn.IFS(H261&gt;200000,"2 Lakhs +",H261&gt;=100000,"1-2 Lakhs",H261&lt;100000,"Below 1 Lakhs")</f>
        <v>1-2 Lakhs</v>
      </c>
    </row>
    <row r="262" spans="1:10" x14ac:dyDescent="0.25">
      <c r="A262" s="12">
        <v>261</v>
      </c>
      <c r="B262" s="6">
        <v>6820</v>
      </c>
      <c r="C262" s="12">
        <v>61</v>
      </c>
      <c r="D262" s="6" t="s">
        <v>17</v>
      </c>
      <c r="E262" s="6" t="s">
        <v>316</v>
      </c>
      <c r="F262" s="10">
        <v>32566</v>
      </c>
      <c r="G262" s="12">
        <v>30</v>
      </c>
      <c r="H262" s="8">
        <v>242055</v>
      </c>
      <c r="I262" s="6" t="str" cm="1">
        <f t="array" ref="I262">_xlfn.IFS(C262&gt;50,"50+",C262&gt;=30,"30-50",C262&lt;30,"Under 30")</f>
        <v>50+</v>
      </c>
      <c r="J262" s="6" t="str" cm="1">
        <f t="array" ref="J262">_xlfn.IFS(H262&gt;200000,"2 Lakhs +",H262&gt;=100000,"1-2 Lakhs",H262&lt;100000,"Below 1 Lakhs")</f>
        <v>2 Lakhs +</v>
      </c>
    </row>
    <row r="263" spans="1:10" x14ac:dyDescent="0.25">
      <c r="A263" s="12">
        <v>262</v>
      </c>
      <c r="B263" s="6">
        <v>4433</v>
      </c>
      <c r="C263" s="12">
        <v>59</v>
      </c>
      <c r="D263" s="6" t="s">
        <v>11</v>
      </c>
      <c r="E263" s="6" t="s">
        <v>316</v>
      </c>
      <c r="F263" s="10">
        <v>28869</v>
      </c>
      <c r="G263" s="12">
        <v>27</v>
      </c>
      <c r="H263" s="8">
        <v>216452</v>
      </c>
      <c r="I263" s="6" t="str" cm="1">
        <f t="array" ref="I263">_xlfn.IFS(C263&gt;50,"50+",C263&gt;=30,"30-50",C263&lt;30,"Under 30")</f>
        <v>50+</v>
      </c>
      <c r="J263" s="6" t="str" cm="1">
        <f t="array" ref="J263">_xlfn.IFS(H263&gt;200000,"2 Lakhs +",H263&gt;=100000,"1-2 Lakhs",H263&lt;100000,"Below 1 Lakhs")</f>
        <v>2 Lakhs +</v>
      </c>
    </row>
    <row r="264" spans="1:10" x14ac:dyDescent="0.25">
      <c r="A264" s="12">
        <v>263</v>
      </c>
      <c r="B264" s="6">
        <v>2245</v>
      </c>
      <c r="C264" s="12">
        <v>49</v>
      </c>
      <c r="D264" s="6" t="s">
        <v>10</v>
      </c>
      <c r="E264" s="6" t="s">
        <v>316</v>
      </c>
      <c r="F264" s="10">
        <v>33306</v>
      </c>
      <c r="G264" s="12">
        <v>23</v>
      </c>
      <c r="H264" s="8">
        <v>175322</v>
      </c>
      <c r="I264" s="6" t="str" cm="1">
        <f t="array" ref="I264">_xlfn.IFS(C264&gt;50,"50+",C264&gt;=30,"30-50",C264&lt;30,"Under 30")</f>
        <v>30-50</v>
      </c>
      <c r="J264" s="6" t="str" cm="1">
        <f t="array" ref="J264">_xlfn.IFS(H264&gt;200000,"2 Lakhs +",H264&gt;=100000,"1-2 Lakhs",H264&lt;100000,"Below 1 Lakhs")</f>
        <v>1-2 Lakhs</v>
      </c>
    </row>
    <row r="265" spans="1:10" x14ac:dyDescent="0.25">
      <c r="A265" s="12">
        <v>264</v>
      </c>
      <c r="B265" s="6">
        <v>9271</v>
      </c>
      <c r="C265" s="12">
        <v>41</v>
      </c>
      <c r="D265" s="6" t="s">
        <v>11</v>
      </c>
      <c r="E265" s="6" t="s">
        <v>317</v>
      </c>
      <c r="F265" s="10">
        <v>25776</v>
      </c>
      <c r="G265" s="12">
        <v>18</v>
      </c>
      <c r="H265" s="8">
        <v>143008</v>
      </c>
      <c r="I265" s="6" t="str" cm="1">
        <f t="array" ref="I265">_xlfn.IFS(C265&gt;50,"50+",C265&gt;=30,"30-50",C265&lt;30,"Under 30")</f>
        <v>30-50</v>
      </c>
      <c r="J265" s="6" t="str" cm="1">
        <f t="array" ref="J265">_xlfn.IFS(H265&gt;200000,"2 Lakhs +",H265&gt;=100000,"1-2 Lakhs",H265&lt;100000,"Below 1 Lakhs")</f>
        <v>1-2 Lakhs</v>
      </c>
    </row>
    <row r="266" spans="1:10" x14ac:dyDescent="0.25">
      <c r="A266" s="12">
        <v>265</v>
      </c>
      <c r="B266" s="6">
        <v>9654</v>
      </c>
      <c r="C266" s="12">
        <v>42</v>
      </c>
      <c r="D266" s="6" t="s">
        <v>10</v>
      </c>
      <c r="E266" s="6" t="s">
        <v>317</v>
      </c>
      <c r="F266" s="10">
        <v>45249</v>
      </c>
      <c r="G266" s="12">
        <v>23</v>
      </c>
      <c r="H266" s="8">
        <v>188585</v>
      </c>
      <c r="I266" s="6" t="str" cm="1">
        <f t="array" ref="I266">_xlfn.IFS(C266&gt;50,"50+",C266&gt;=30,"30-50",C266&lt;30,"Under 30")</f>
        <v>30-50</v>
      </c>
      <c r="J266" s="6" t="str" cm="1">
        <f t="array" ref="J266">_xlfn.IFS(H266&gt;200000,"2 Lakhs +",H266&gt;=100000,"1-2 Lakhs",H266&lt;100000,"Below 1 Lakhs")</f>
        <v>1-2 Lakhs</v>
      </c>
    </row>
    <row r="267" spans="1:10" x14ac:dyDescent="0.25">
      <c r="A267" s="12">
        <v>266</v>
      </c>
      <c r="B267" s="6">
        <v>8985</v>
      </c>
      <c r="C267" s="12">
        <v>40</v>
      </c>
      <c r="D267" s="6" t="s">
        <v>17</v>
      </c>
      <c r="E267" s="6" t="s">
        <v>317</v>
      </c>
      <c r="F267" s="10">
        <v>30896</v>
      </c>
      <c r="G267" s="12">
        <v>22</v>
      </c>
      <c r="H267" s="8">
        <v>170616</v>
      </c>
      <c r="I267" s="6" t="str" cm="1">
        <f t="array" ref="I267">_xlfn.IFS(C267&gt;50,"50+",C267&gt;=30,"30-50",C267&lt;30,"Under 30")</f>
        <v>30-50</v>
      </c>
      <c r="J267" s="6" t="str" cm="1">
        <f t="array" ref="J267">_xlfn.IFS(H267&gt;200000,"2 Lakhs +",H267&gt;=100000,"1-2 Lakhs",H267&lt;100000,"Below 1 Lakhs")</f>
        <v>1-2 Lakhs</v>
      </c>
    </row>
    <row r="268" spans="1:10" x14ac:dyDescent="0.25">
      <c r="A268" s="12">
        <v>267</v>
      </c>
      <c r="B268" s="6">
        <v>2461</v>
      </c>
      <c r="C268" s="12">
        <v>29</v>
      </c>
      <c r="D268" s="6" t="s">
        <v>13</v>
      </c>
      <c r="E268" s="6" t="s">
        <v>317</v>
      </c>
      <c r="F268" s="10">
        <v>42204</v>
      </c>
      <c r="G268" s="12">
        <v>10</v>
      </c>
      <c r="H268" s="8">
        <v>76240</v>
      </c>
      <c r="I268" s="6" t="str" cm="1">
        <f t="array" ref="I268">_xlfn.IFS(C268&gt;50,"50+",C268&gt;=30,"30-50",C268&lt;30,"Under 30")</f>
        <v>Under 30</v>
      </c>
      <c r="J268" s="6" t="str" cm="1">
        <f t="array" ref="J268">_xlfn.IFS(H268&gt;200000,"2 Lakhs +",H268&gt;=100000,"1-2 Lakhs",H268&lt;100000,"Below 1 Lakhs")</f>
        <v>Below 1 Lakhs</v>
      </c>
    </row>
    <row r="269" spans="1:10" x14ac:dyDescent="0.25">
      <c r="A269" s="12">
        <v>268</v>
      </c>
      <c r="B269" s="6">
        <v>3151</v>
      </c>
      <c r="C269" s="12">
        <v>33</v>
      </c>
      <c r="D269" s="6" t="s">
        <v>13</v>
      </c>
      <c r="E269" s="6" t="s">
        <v>317</v>
      </c>
      <c r="F269" s="10">
        <v>34309</v>
      </c>
      <c r="G269" s="12">
        <v>15</v>
      </c>
      <c r="H269" s="8">
        <v>126615</v>
      </c>
      <c r="I269" s="6" t="str" cm="1">
        <f t="array" ref="I269">_xlfn.IFS(C269&gt;50,"50+",C269&gt;=30,"30-50",C269&lt;30,"Under 30")</f>
        <v>30-50</v>
      </c>
      <c r="J269" s="6" t="str" cm="1">
        <f t="array" ref="J269">_xlfn.IFS(H269&gt;200000,"2 Lakhs +",H269&gt;=100000,"1-2 Lakhs",H269&lt;100000,"Below 1 Lakhs")</f>
        <v>1-2 Lakhs</v>
      </c>
    </row>
    <row r="270" spans="1:10" x14ac:dyDescent="0.25">
      <c r="A270" s="12">
        <v>269</v>
      </c>
      <c r="B270" s="6">
        <v>7639</v>
      </c>
      <c r="C270" s="12">
        <v>56</v>
      </c>
      <c r="D270" s="6" t="s">
        <v>11</v>
      </c>
      <c r="E270" s="6" t="s">
        <v>316</v>
      </c>
      <c r="F270" s="10">
        <v>25832</v>
      </c>
      <c r="G270" s="12">
        <v>28</v>
      </c>
      <c r="H270" s="8">
        <v>229698</v>
      </c>
      <c r="I270" s="6" t="str" cm="1">
        <f t="array" ref="I270">_xlfn.IFS(C270&gt;50,"50+",C270&gt;=30,"30-50",C270&lt;30,"Under 30")</f>
        <v>50+</v>
      </c>
      <c r="J270" s="6" t="str" cm="1">
        <f t="array" ref="J270">_xlfn.IFS(H270&gt;200000,"2 Lakhs +",H270&gt;=100000,"1-2 Lakhs",H270&lt;100000,"Below 1 Lakhs")</f>
        <v>2 Lakhs +</v>
      </c>
    </row>
    <row r="271" spans="1:10" x14ac:dyDescent="0.25">
      <c r="A271" s="12">
        <v>270</v>
      </c>
      <c r="B271" s="6">
        <v>5916</v>
      </c>
      <c r="C271" s="12">
        <v>56</v>
      </c>
      <c r="D271" s="6" t="s">
        <v>17</v>
      </c>
      <c r="E271" s="6" t="s">
        <v>316</v>
      </c>
      <c r="F271" s="10">
        <v>33732</v>
      </c>
      <c r="G271" s="12">
        <v>24</v>
      </c>
      <c r="H271" s="8">
        <v>187784</v>
      </c>
      <c r="I271" s="6" t="str" cm="1">
        <f t="array" ref="I271">_xlfn.IFS(C271&gt;50,"50+",C271&gt;=30,"30-50",C271&lt;30,"Under 30")</f>
        <v>50+</v>
      </c>
      <c r="J271" s="6" t="str" cm="1">
        <f t="array" ref="J271">_xlfn.IFS(H271&gt;200000,"2 Lakhs +",H271&gt;=100000,"1-2 Lakhs",H271&lt;100000,"Below 1 Lakhs")</f>
        <v>1-2 Lakhs</v>
      </c>
    </row>
    <row r="272" spans="1:10" x14ac:dyDescent="0.25">
      <c r="A272" s="12">
        <v>271</v>
      </c>
      <c r="B272" s="6">
        <v>9431</v>
      </c>
      <c r="C272" s="12">
        <v>36</v>
      </c>
      <c r="D272" s="6" t="s">
        <v>8</v>
      </c>
      <c r="E272" s="6" t="s">
        <v>317</v>
      </c>
      <c r="F272" s="10">
        <v>40317</v>
      </c>
      <c r="G272" s="12">
        <v>16</v>
      </c>
      <c r="H272" s="8">
        <v>138129</v>
      </c>
      <c r="I272" s="6" t="str" cm="1">
        <f t="array" ref="I272">_xlfn.IFS(C272&gt;50,"50+",C272&gt;=30,"30-50",C272&lt;30,"Under 30")</f>
        <v>30-50</v>
      </c>
      <c r="J272" s="6" t="str" cm="1">
        <f t="array" ref="J272">_xlfn.IFS(H272&gt;200000,"2 Lakhs +",H272&gt;=100000,"1-2 Lakhs",H272&lt;100000,"Below 1 Lakhs")</f>
        <v>1-2 Lakhs</v>
      </c>
    </row>
    <row r="273" spans="1:10" x14ac:dyDescent="0.25">
      <c r="A273" s="12">
        <v>272</v>
      </c>
      <c r="B273" s="6">
        <v>3881</v>
      </c>
      <c r="C273" s="12">
        <v>23</v>
      </c>
      <c r="D273" s="6" t="s">
        <v>17</v>
      </c>
      <c r="E273" s="6" t="s">
        <v>317</v>
      </c>
      <c r="F273" s="10">
        <v>26336</v>
      </c>
      <c r="G273" s="12">
        <v>9</v>
      </c>
      <c r="H273" s="8">
        <v>67144</v>
      </c>
      <c r="I273" s="6" t="str" cm="1">
        <f t="array" ref="I273">_xlfn.IFS(C273&gt;50,"50+",C273&gt;=30,"30-50",C273&lt;30,"Under 30")</f>
        <v>Under 30</v>
      </c>
      <c r="J273" s="6" t="str" cm="1">
        <f t="array" ref="J273">_xlfn.IFS(H273&gt;200000,"2 Lakhs +",H273&gt;=100000,"1-2 Lakhs",H273&lt;100000,"Below 1 Lakhs")</f>
        <v>Below 1 Lakhs</v>
      </c>
    </row>
    <row r="274" spans="1:10" x14ac:dyDescent="0.25">
      <c r="A274" s="12">
        <v>273</v>
      </c>
      <c r="B274" s="6">
        <v>4413</v>
      </c>
      <c r="C274" s="12">
        <v>64</v>
      </c>
      <c r="D274" s="6" t="s">
        <v>11</v>
      </c>
      <c r="E274" s="6" t="s">
        <v>316</v>
      </c>
      <c r="F274" s="10">
        <v>38469</v>
      </c>
      <c r="G274" s="12">
        <v>29</v>
      </c>
      <c r="H274" s="8">
        <v>239949</v>
      </c>
      <c r="I274" s="6" t="str" cm="1">
        <f t="array" ref="I274">_xlfn.IFS(C274&gt;50,"50+",C274&gt;=30,"30-50",C274&lt;30,"Under 30")</f>
        <v>50+</v>
      </c>
      <c r="J274" s="6" t="str" cm="1">
        <f t="array" ref="J274">_xlfn.IFS(H274&gt;200000,"2 Lakhs +",H274&gt;=100000,"1-2 Lakhs",H274&lt;100000,"Below 1 Lakhs")</f>
        <v>2 Lakhs +</v>
      </c>
    </row>
    <row r="275" spans="1:10" x14ac:dyDescent="0.25">
      <c r="A275" s="12">
        <v>274</v>
      </c>
      <c r="B275" s="6">
        <v>6996</v>
      </c>
      <c r="C275" s="12">
        <v>50</v>
      </c>
      <c r="D275" s="6" t="s">
        <v>17</v>
      </c>
      <c r="E275" s="6" t="s">
        <v>317</v>
      </c>
      <c r="F275" s="10">
        <v>30504</v>
      </c>
      <c r="G275" s="12">
        <v>21</v>
      </c>
      <c r="H275" s="8">
        <v>179365</v>
      </c>
      <c r="I275" s="6" t="str" cm="1">
        <f t="array" ref="I275">_xlfn.IFS(C275&gt;50,"50+",C275&gt;=30,"30-50",C275&lt;30,"Under 30")</f>
        <v>30-50</v>
      </c>
      <c r="J275" s="6" t="str" cm="1">
        <f t="array" ref="J275">_xlfn.IFS(H275&gt;200000,"2 Lakhs +",H275&gt;=100000,"1-2 Lakhs",H275&lt;100000,"Below 1 Lakhs")</f>
        <v>1-2 Lakhs</v>
      </c>
    </row>
    <row r="276" spans="1:10" x14ac:dyDescent="0.25">
      <c r="A276" s="12">
        <v>275</v>
      </c>
      <c r="B276" s="6">
        <v>9067</v>
      </c>
      <c r="C276" s="12">
        <v>50</v>
      </c>
      <c r="D276" s="6" t="s">
        <v>11</v>
      </c>
      <c r="E276" s="6" t="s">
        <v>317</v>
      </c>
      <c r="F276" s="10">
        <v>27018</v>
      </c>
      <c r="G276" s="12">
        <v>24</v>
      </c>
      <c r="H276" s="8">
        <v>187838</v>
      </c>
      <c r="I276" s="6" t="str" cm="1">
        <f t="array" ref="I276">_xlfn.IFS(C276&gt;50,"50+",C276&gt;=30,"30-50",C276&lt;30,"Under 30")</f>
        <v>30-50</v>
      </c>
      <c r="J276" s="6" t="str" cm="1">
        <f t="array" ref="J276">_xlfn.IFS(H276&gt;200000,"2 Lakhs +",H276&gt;=100000,"1-2 Lakhs",H276&lt;100000,"Below 1 Lakhs")</f>
        <v>1-2 Lakhs</v>
      </c>
    </row>
    <row r="277" spans="1:10" x14ac:dyDescent="0.25">
      <c r="A277" s="12">
        <v>276</v>
      </c>
      <c r="B277" s="6">
        <v>7346</v>
      </c>
      <c r="C277" s="12">
        <v>25</v>
      </c>
      <c r="D277" s="6" t="s">
        <v>8</v>
      </c>
      <c r="E277" s="6" t="s">
        <v>316</v>
      </c>
      <c r="F277" s="10">
        <v>43285</v>
      </c>
      <c r="G277" s="12">
        <v>16</v>
      </c>
      <c r="H277" s="8">
        <v>132450</v>
      </c>
      <c r="I277" s="6" t="str" cm="1">
        <f t="array" ref="I277">_xlfn.IFS(C277&gt;50,"50+",C277&gt;=30,"30-50",C277&lt;30,"Under 30")</f>
        <v>Under 30</v>
      </c>
      <c r="J277" s="6" t="str" cm="1">
        <f t="array" ref="J277">_xlfn.IFS(H277&gt;200000,"2 Lakhs +",H277&gt;=100000,"1-2 Lakhs",H277&lt;100000,"Below 1 Lakhs")</f>
        <v>1-2 Lakhs</v>
      </c>
    </row>
    <row r="278" spans="1:10" x14ac:dyDescent="0.25">
      <c r="A278" s="12">
        <v>277</v>
      </c>
      <c r="B278" s="6">
        <v>5348</v>
      </c>
      <c r="C278" s="12">
        <v>51</v>
      </c>
      <c r="D278" s="6" t="s">
        <v>17</v>
      </c>
      <c r="E278" s="6" t="s">
        <v>316</v>
      </c>
      <c r="F278" s="10">
        <v>34080</v>
      </c>
      <c r="G278" s="12">
        <v>27</v>
      </c>
      <c r="H278" s="8">
        <v>205100</v>
      </c>
      <c r="I278" s="6" t="str" cm="1">
        <f t="array" ref="I278">_xlfn.IFS(C278&gt;50,"50+",C278&gt;=30,"30-50",C278&lt;30,"Under 30")</f>
        <v>50+</v>
      </c>
      <c r="J278" s="6" t="str" cm="1">
        <f t="array" ref="J278">_xlfn.IFS(H278&gt;200000,"2 Lakhs +",H278&gt;=100000,"1-2 Lakhs",H278&lt;100000,"Below 1 Lakhs")</f>
        <v>2 Lakhs +</v>
      </c>
    </row>
    <row r="279" spans="1:10" x14ac:dyDescent="0.25">
      <c r="A279" s="12">
        <v>278</v>
      </c>
      <c r="B279" s="6">
        <v>8654</v>
      </c>
      <c r="C279" s="12">
        <v>33</v>
      </c>
      <c r="D279" s="6" t="s">
        <v>13</v>
      </c>
      <c r="E279" s="6" t="s">
        <v>316</v>
      </c>
      <c r="F279" s="10">
        <v>32108</v>
      </c>
      <c r="G279" s="12">
        <v>14</v>
      </c>
      <c r="H279" s="8">
        <v>116747</v>
      </c>
      <c r="I279" s="6" t="str" cm="1">
        <f t="array" ref="I279">_xlfn.IFS(C279&gt;50,"50+",C279&gt;=30,"30-50",C279&lt;30,"Under 30")</f>
        <v>30-50</v>
      </c>
      <c r="J279" s="6" t="str" cm="1">
        <f t="array" ref="J279">_xlfn.IFS(H279&gt;200000,"2 Lakhs +",H279&gt;=100000,"1-2 Lakhs",H279&lt;100000,"Below 1 Lakhs")</f>
        <v>1-2 Lakhs</v>
      </c>
    </row>
    <row r="280" spans="1:10" x14ac:dyDescent="0.25">
      <c r="A280" s="12">
        <v>279</v>
      </c>
      <c r="B280" s="6">
        <v>6135</v>
      </c>
      <c r="C280" s="12">
        <v>39</v>
      </c>
      <c r="D280" s="6" t="s">
        <v>17</v>
      </c>
      <c r="E280" s="6" t="s">
        <v>316</v>
      </c>
      <c r="F280" s="10">
        <v>32578</v>
      </c>
      <c r="G280" s="12">
        <v>20</v>
      </c>
      <c r="H280" s="8">
        <v>163267</v>
      </c>
      <c r="I280" s="6" t="str" cm="1">
        <f t="array" ref="I280">_xlfn.IFS(C280&gt;50,"50+",C280&gt;=30,"30-50",C280&lt;30,"Under 30")</f>
        <v>30-50</v>
      </c>
      <c r="J280" s="6" t="str" cm="1">
        <f t="array" ref="J280">_xlfn.IFS(H280&gt;200000,"2 Lakhs +",H280&gt;=100000,"1-2 Lakhs",H280&lt;100000,"Below 1 Lakhs")</f>
        <v>1-2 Lakhs</v>
      </c>
    </row>
    <row r="281" spans="1:10" x14ac:dyDescent="0.25">
      <c r="A281" s="12">
        <v>280</v>
      </c>
      <c r="B281" s="6">
        <v>9855</v>
      </c>
      <c r="C281" s="12">
        <v>52</v>
      </c>
      <c r="D281" s="6" t="s">
        <v>17</v>
      </c>
      <c r="E281" s="6" t="s">
        <v>316</v>
      </c>
      <c r="F281" s="10">
        <v>37115</v>
      </c>
      <c r="G281" s="12">
        <v>25</v>
      </c>
      <c r="H281" s="8">
        <v>201417</v>
      </c>
      <c r="I281" s="6" t="str" cm="1">
        <f t="array" ref="I281">_xlfn.IFS(C281&gt;50,"50+",C281&gt;=30,"30-50",C281&lt;30,"Under 30")</f>
        <v>50+</v>
      </c>
      <c r="J281" s="6" t="str" cm="1">
        <f t="array" ref="J281">_xlfn.IFS(H281&gt;200000,"2 Lakhs +",H281&gt;=100000,"1-2 Lakhs",H281&lt;100000,"Below 1 Lakhs")</f>
        <v>2 Lakhs +</v>
      </c>
    </row>
    <row r="282" spans="1:10" x14ac:dyDescent="0.25">
      <c r="A282" s="12">
        <v>281</v>
      </c>
      <c r="B282" s="6">
        <v>4372</v>
      </c>
      <c r="C282" s="12">
        <v>24</v>
      </c>
      <c r="D282" s="6" t="s">
        <v>17</v>
      </c>
      <c r="E282" s="6" t="s">
        <v>316</v>
      </c>
      <c r="F282" s="10">
        <v>39425</v>
      </c>
      <c r="G282" s="12">
        <v>10</v>
      </c>
      <c r="H282" s="8">
        <v>81020</v>
      </c>
      <c r="I282" s="6" t="str" cm="1">
        <f t="array" ref="I282">_xlfn.IFS(C282&gt;50,"50+",C282&gt;=30,"30-50",C282&lt;30,"Under 30")</f>
        <v>Under 30</v>
      </c>
      <c r="J282" s="6" t="str" cm="1">
        <f t="array" ref="J282">_xlfn.IFS(H282&gt;200000,"2 Lakhs +",H282&gt;=100000,"1-2 Lakhs",H282&lt;100000,"Below 1 Lakhs")</f>
        <v>Below 1 Lakhs</v>
      </c>
    </row>
    <row r="283" spans="1:10" x14ac:dyDescent="0.25">
      <c r="A283" s="12">
        <v>282</v>
      </c>
      <c r="B283" s="6">
        <v>5929</v>
      </c>
      <c r="C283" s="12">
        <v>54</v>
      </c>
      <c r="D283" s="6" t="s">
        <v>8</v>
      </c>
      <c r="E283" s="6" t="s">
        <v>316</v>
      </c>
      <c r="F283" s="10">
        <v>43766</v>
      </c>
      <c r="G283" s="12">
        <v>28</v>
      </c>
      <c r="H283" s="8">
        <v>223674</v>
      </c>
      <c r="I283" s="6" t="str" cm="1">
        <f t="array" ref="I283">_xlfn.IFS(C283&gt;50,"50+",C283&gt;=30,"30-50",C283&lt;30,"Under 30")</f>
        <v>50+</v>
      </c>
      <c r="J283" s="6" t="str" cm="1">
        <f t="array" ref="J283">_xlfn.IFS(H283&gt;200000,"2 Lakhs +",H283&gt;=100000,"1-2 Lakhs",H283&lt;100000,"Below 1 Lakhs")</f>
        <v>2 Lakhs +</v>
      </c>
    </row>
    <row r="284" spans="1:10" x14ac:dyDescent="0.25">
      <c r="A284" s="12">
        <v>283</v>
      </c>
      <c r="B284" s="6">
        <v>3596</v>
      </c>
      <c r="C284" s="12">
        <v>47</v>
      </c>
      <c r="D284" s="6" t="s">
        <v>10</v>
      </c>
      <c r="E284" s="6" t="s">
        <v>317</v>
      </c>
      <c r="F284" s="10">
        <v>36206</v>
      </c>
      <c r="G284" s="12">
        <v>26</v>
      </c>
      <c r="H284" s="8">
        <v>210860</v>
      </c>
      <c r="I284" s="6" t="str" cm="1">
        <f t="array" ref="I284">_xlfn.IFS(C284&gt;50,"50+",C284&gt;=30,"30-50",C284&lt;30,"Under 30")</f>
        <v>30-50</v>
      </c>
      <c r="J284" s="6" t="str" cm="1">
        <f t="array" ref="J284">_xlfn.IFS(H284&gt;200000,"2 Lakhs +",H284&gt;=100000,"1-2 Lakhs",H284&lt;100000,"Below 1 Lakhs")</f>
        <v>2 Lakhs +</v>
      </c>
    </row>
    <row r="285" spans="1:10" x14ac:dyDescent="0.25">
      <c r="A285" s="12">
        <v>284</v>
      </c>
      <c r="B285" s="6">
        <v>5750</v>
      </c>
      <c r="C285" s="12">
        <v>43</v>
      </c>
      <c r="D285" s="6" t="s">
        <v>8</v>
      </c>
      <c r="E285" s="6" t="s">
        <v>317</v>
      </c>
      <c r="F285" s="10">
        <v>44767</v>
      </c>
      <c r="G285" s="12">
        <v>21</v>
      </c>
      <c r="H285" s="8">
        <v>166151</v>
      </c>
      <c r="I285" s="6" t="str" cm="1">
        <f t="array" ref="I285">_xlfn.IFS(C285&gt;50,"50+",C285&gt;=30,"30-50",C285&lt;30,"Under 30")</f>
        <v>30-50</v>
      </c>
      <c r="J285" s="6" t="str" cm="1">
        <f t="array" ref="J285">_xlfn.IFS(H285&gt;200000,"2 Lakhs +",H285&gt;=100000,"1-2 Lakhs",H285&lt;100000,"Below 1 Lakhs")</f>
        <v>1-2 Lakhs</v>
      </c>
    </row>
    <row r="286" spans="1:10" x14ac:dyDescent="0.25">
      <c r="A286" s="12">
        <v>285</v>
      </c>
      <c r="B286" s="6">
        <v>6969</v>
      </c>
      <c r="C286" s="12">
        <v>49</v>
      </c>
      <c r="D286" s="6" t="s">
        <v>10</v>
      </c>
      <c r="E286" s="6" t="s">
        <v>317</v>
      </c>
      <c r="F286" s="10">
        <v>38161</v>
      </c>
      <c r="G286" s="12">
        <v>27</v>
      </c>
      <c r="H286" s="8">
        <v>221768</v>
      </c>
      <c r="I286" s="6" t="str" cm="1">
        <f t="array" ref="I286">_xlfn.IFS(C286&gt;50,"50+",C286&gt;=30,"30-50",C286&lt;30,"Under 30")</f>
        <v>30-50</v>
      </c>
      <c r="J286" s="6" t="str" cm="1">
        <f t="array" ref="J286">_xlfn.IFS(H286&gt;200000,"2 Lakhs +",H286&gt;=100000,"1-2 Lakhs",H286&lt;100000,"Below 1 Lakhs")</f>
        <v>2 Lakhs +</v>
      </c>
    </row>
    <row r="287" spans="1:10" x14ac:dyDescent="0.25">
      <c r="A287" s="12">
        <v>286</v>
      </c>
      <c r="B287" s="6">
        <v>9046</v>
      </c>
      <c r="C287" s="12">
        <v>61</v>
      </c>
      <c r="D287" s="6" t="s">
        <v>11</v>
      </c>
      <c r="E287" s="6" t="s">
        <v>317</v>
      </c>
      <c r="F287" s="10">
        <v>44615</v>
      </c>
      <c r="G287" s="12">
        <v>28</v>
      </c>
      <c r="H287" s="8">
        <v>228336</v>
      </c>
      <c r="I287" s="6" t="str" cm="1">
        <f t="array" ref="I287">_xlfn.IFS(C287&gt;50,"50+",C287&gt;=30,"30-50",C287&lt;30,"Under 30")</f>
        <v>50+</v>
      </c>
      <c r="J287" s="6" t="str" cm="1">
        <f t="array" ref="J287">_xlfn.IFS(H287&gt;200000,"2 Lakhs +",H287&gt;=100000,"1-2 Lakhs",H287&lt;100000,"Below 1 Lakhs")</f>
        <v>2 Lakhs +</v>
      </c>
    </row>
    <row r="288" spans="1:10" x14ac:dyDescent="0.25">
      <c r="A288" s="12">
        <v>287</v>
      </c>
      <c r="B288" s="6">
        <v>4744</v>
      </c>
      <c r="C288" s="12">
        <v>23</v>
      </c>
      <c r="D288" s="6" t="s">
        <v>8</v>
      </c>
      <c r="E288" s="6" t="s">
        <v>316</v>
      </c>
      <c r="F288" s="10">
        <v>35517</v>
      </c>
      <c r="G288" s="12">
        <v>10</v>
      </c>
      <c r="H288" s="8">
        <v>83287</v>
      </c>
      <c r="I288" s="6" t="str" cm="1">
        <f t="array" ref="I288">_xlfn.IFS(C288&gt;50,"50+",C288&gt;=30,"30-50",C288&lt;30,"Under 30")</f>
        <v>Under 30</v>
      </c>
      <c r="J288" s="6" t="str" cm="1">
        <f t="array" ref="J288">_xlfn.IFS(H288&gt;200000,"2 Lakhs +",H288&gt;=100000,"1-2 Lakhs",H288&lt;100000,"Below 1 Lakhs")</f>
        <v>Below 1 Lakhs</v>
      </c>
    </row>
    <row r="289" spans="1:10" x14ac:dyDescent="0.25">
      <c r="A289" s="12">
        <v>288</v>
      </c>
      <c r="B289" s="6">
        <v>9279</v>
      </c>
      <c r="C289" s="12">
        <v>34</v>
      </c>
      <c r="D289" s="6" t="s">
        <v>13</v>
      </c>
      <c r="E289" s="6" t="s">
        <v>316</v>
      </c>
      <c r="F289" s="10">
        <v>25625</v>
      </c>
      <c r="G289" s="12">
        <v>14</v>
      </c>
      <c r="H289" s="8">
        <v>107405</v>
      </c>
      <c r="I289" s="6" t="str" cm="1">
        <f t="array" ref="I289">_xlfn.IFS(C289&gt;50,"50+",C289&gt;=30,"30-50",C289&lt;30,"Under 30")</f>
        <v>30-50</v>
      </c>
      <c r="J289" s="6" t="str" cm="1">
        <f t="array" ref="J289">_xlfn.IFS(H289&gt;200000,"2 Lakhs +",H289&gt;=100000,"1-2 Lakhs",H289&lt;100000,"Below 1 Lakhs")</f>
        <v>1-2 Lakhs</v>
      </c>
    </row>
    <row r="290" spans="1:10" x14ac:dyDescent="0.25">
      <c r="A290" s="12">
        <v>289</v>
      </c>
      <c r="B290" s="6">
        <v>8703</v>
      </c>
      <c r="C290" s="12">
        <v>28</v>
      </c>
      <c r="D290" s="6" t="s">
        <v>8</v>
      </c>
      <c r="E290" s="6" t="s">
        <v>317</v>
      </c>
      <c r="F290" s="10">
        <v>36160</v>
      </c>
      <c r="G290" s="12">
        <v>14</v>
      </c>
      <c r="H290" s="8">
        <v>108456</v>
      </c>
      <c r="I290" s="6" t="str" cm="1">
        <f t="array" ref="I290">_xlfn.IFS(C290&gt;50,"50+",C290&gt;=30,"30-50",C290&lt;30,"Under 30")</f>
        <v>Under 30</v>
      </c>
      <c r="J290" s="6" t="str" cm="1">
        <f t="array" ref="J290">_xlfn.IFS(H290&gt;200000,"2 Lakhs +",H290&gt;=100000,"1-2 Lakhs",H290&lt;100000,"Below 1 Lakhs")</f>
        <v>1-2 Lakhs</v>
      </c>
    </row>
    <row r="291" spans="1:10" x14ac:dyDescent="0.25">
      <c r="A291" s="12">
        <v>290</v>
      </c>
      <c r="B291" s="6">
        <v>1390</v>
      </c>
      <c r="C291" s="12">
        <v>62</v>
      </c>
      <c r="D291" s="6" t="s">
        <v>11</v>
      </c>
      <c r="E291" s="6" t="s">
        <v>317</v>
      </c>
      <c r="F291" s="10">
        <v>39163</v>
      </c>
      <c r="G291" s="12">
        <v>34</v>
      </c>
      <c r="H291" s="8">
        <v>266769</v>
      </c>
      <c r="I291" s="6" t="str" cm="1">
        <f t="array" ref="I291">_xlfn.IFS(C291&gt;50,"50+",C291&gt;=30,"30-50",C291&lt;30,"Under 30")</f>
        <v>50+</v>
      </c>
      <c r="J291" s="6" t="str" cm="1">
        <f t="array" ref="J291">_xlfn.IFS(H291&gt;200000,"2 Lakhs +",H291&gt;=100000,"1-2 Lakhs",H291&lt;100000,"Below 1 Lakhs")</f>
        <v>2 Lakhs +</v>
      </c>
    </row>
    <row r="292" spans="1:10" x14ac:dyDescent="0.25">
      <c r="A292" s="12">
        <v>291</v>
      </c>
      <c r="B292" s="6">
        <v>3432</v>
      </c>
      <c r="C292" s="12">
        <v>60</v>
      </c>
      <c r="D292" s="6" t="s">
        <v>11</v>
      </c>
      <c r="E292" s="6" t="s">
        <v>316</v>
      </c>
      <c r="F292" s="10">
        <v>33015</v>
      </c>
      <c r="G292" s="12">
        <v>28</v>
      </c>
      <c r="H292" s="8">
        <v>220626</v>
      </c>
      <c r="I292" s="6" t="str" cm="1">
        <f t="array" ref="I292">_xlfn.IFS(C292&gt;50,"50+",C292&gt;=30,"30-50",C292&lt;30,"Under 30")</f>
        <v>50+</v>
      </c>
      <c r="J292" s="6" t="str" cm="1">
        <f t="array" ref="J292">_xlfn.IFS(H292&gt;200000,"2 Lakhs +",H292&gt;=100000,"1-2 Lakhs",H292&lt;100000,"Below 1 Lakhs")</f>
        <v>2 Lakhs +</v>
      </c>
    </row>
    <row r="293" spans="1:10" x14ac:dyDescent="0.25">
      <c r="A293" s="12">
        <v>292</v>
      </c>
      <c r="B293" s="6">
        <v>6674</v>
      </c>
      <c r="C293" s="12">
        <v>27</v>
      </c>
      <c r="D293" s="6" t="s">
        <v>10</v>
      </c>
      <c r="E293" s="6" t="s">
        <v>317</v>
      </c>
      <c r="F293" s="10">
        <v>40099</v>
      </c>
      <c r="G293" s="12">
        <v>11</v>
      </c>
      <c r="H293" s="8">
        <v>87783</v>
      </c>
      <c r="I293" s="6" t="str" cm="1">
        <f t="array" ref="I293">_xlfn.IFS(C293&gt;50,"50+",C293&gt;=30,"30-50",C293&lt;30,"Under 30")</f>
        <v>Under 30</v>
      </c>
      <c r="J293" s="6" t="str" cm="1">
        <f t="array" ref="J293">_xlfn.IFS(H293&gt;200000,"2 Lakhs +",H293&gt;=100000,"1-2 Lakhs",H293&lt;100000,"Below 1 Lakhs")</f>
        <v>Below 1 Lakhs</v>
      </c>
    </row>
    <row r="294" spans="1:10" x14ac:dyDescent="0.25">
      <c r="A294" s="12">
        <v>293</v>
      </c>
      <c r="B294" s="6">
        <v>9406</v>
      </c>
      <c r="C294" s="12">
        <v>55</v>
      </c>
      <c r="D294" s="6" t="s">
        <v>13</v>
      </c>
      <c r="E294" s="6" t="s">
        <v>317</v>
      </c>
      <c r="F294" s="10">
        <v>36336</v>
      </c>
      <c r="G294" s="12">
        <v>28</v>
      </c>
      <c r="H294" s="8">
        <v>222819</v>
      </c>
      <c r="I294" s="6" t="str" cm="1">
        <f t="array" ref="I294">_xlfn.IFS(C294&gt;50,"50+",C294&gt;=30,"30-50",C294&lt;30,"Under 30")</f>
        <v>50+</v>
      </c>
      <c r="J294" s="6" t="str" cm="1">
        <f t="array" ref="J294">_xlfn.IFS(H294&gt;200000,"2 Lakhs +",H294&gt;=100000,"1-2 Lakhs",H294&lt;100000,"Below 1 Lakhs")</f>
        <v>2 Lakhs +</v>
      </c>
    </row>
    <row r="295" spans="1:10" x14ac:dyDescent="0.25">
      <c r="A295" s="12">
        <v>294</v>
      </c>
      <c r="B295" s="6">
        <v>5410</v>
      </c>
      <c r="C295" s="12">
        <v>38</v>
      </c>
      <c r="D295" s="6" t="s">
        <v>8</v>
      </c>
      <c r="E295" s="6" t="s">
        <v>316</v>
      </c>
      <c r="F295" s="10">
        <v>41760</v>
      </c>
      <c r="G295" s="12">
        <v>19</v>
      </c>
      <c r="H295" s="8">
        <v>156891</v>
      </c>
      <c r="I295" s="6" t="str" cm="1">
        <f t="array" ref="I295">_xlfn.IFS(C295&gt;50,"50+",C295&gt;=30,"30-50",C295&lt;30,"Under 30")</f>
        <v>30-50</v>
      </c>
      <c r="J295" s="6" t="str" cm="1">
        <f t="array" ref="J295">_xlfn.IFS(H295&gt;200000,"2 Lakhs +",H295&gt;=100000,"1-2 Lakhs",H295&lt;100000,"Below 1 Lakhs")</f>
        <v>1-2 Lakhs</v>
      </c>
    </row>
    <row r="296" spans="1:10" x14ac:dyDescent="0.25">
      <c r="A296" s="12">
        <v>295</v>
      </c>
      <c r="B296" s="6">
        <v>1985</v>
      </c>
      <c r="C296" s="12">
        <v>41</v>
      </c>
      <c r="D296" s="6" t="s">
        <v>11</v>
      </c>
      <c r="E296" s="6" t="s">
        <v>317</v>
      </c>
      <c r="F296" s="10">
        <v>45136</v>
      </c>
      <c r="G296" s="12">
        <v>20</v>
      </c>
      <c r="H296" s="8">
        <v>166454</v>
      </c>
      <c r="I296" s="6" t="str" cm="1">
        <f t="array" ref="I296">_xlfn.IFS(C296&gt;50,"50+",C296&gt;=30,"30-50",C296&lt;30,"Under 30")</f>
        <v>30-50</v>
      </c>
      <c r="J296" s="6" t="str" cm="1">
        <f t="array" ref="J296">_xlfn.IFS(H296&gt;200000,"2 Lakhs +",H296&gt;=100000,"1-2 Lakhs",H296&lt;100000,"Below 1 Lakhs")</f>
        <v>1-2 Lakhs</v>
      </c>
    </row>
    <row r="297" spans="1:10" x14ac:dyDescent="0.25">
      <c r="A297" s="12">
        <v>296</v>
      </c>
      <c r="B297" s="6">
        <v>1586</v>
      </c>
      <c r="C297" s="12">
        <v>59</v>
      </c>
      <c r="D297" s="6" t="s">
        <v>8</v>
      </c>
      <c r="E297" s="6" t="s">
        <v>316</v>
      </c>
      <c r="F297" s="10">
        <v>29064</v>
      </c>
      <c r="G297" s="12">
        <v>28</v>
      </c>
      <c r="H297" s="8">
        <v>219860</v>
      </c>
      <c r="I297" s="6" t="str" cm="1">
        <f t="array" ref="I297">_xlfn.IFS(C297&gt;50,"50+",C297&gt;=30,"30-50",C297&lt;30,"Under 30")</f>
        <v>50+</v>
      </c>
      <c r="J297" s="6" t="str" cm="1">
        <f t="array" ref="J297">_xlfn.IFS(H297&gt;200000,"2 Lakhs +",H297&gt;=100000,"1-2 Lakhs",H297&lt;100000,"Below 1 Lakhs")</f>
        <v>2 Lakhs +</v>
      </c>
    </row>
    <row r="298" spans="1:10" x14ac:dyDescent="0.25">
      <c r="A298" s="12">
        <v>297</v>
      </c>
      <c r="B298" s="6">
        <v>6512</v>
      </c>
      <c r="C298" s="12">
        <v>32</v>
      </c>
      <c r="D298" s="6" t="s">
        <v>13</v>
      </c>
      <c r="E298" s="6" t="s">
        <v>316</v>
      </c>
      <c r="F298" s="10">
        <v>29698</v>
      </c>
      <c r="G298" s="12">
        <v>14</v>
      </c>
      <c r="H298" s="8">
        <v>119827</v>
      </c>
      <c r="I298" s="6" t="str" cm="1">
        <f t="array" ref="I298">_xlfn.IFS(C298&gt;50,"50+",C298&gt;=30,"30-50",C298&lt;30,"Under 30")</f>
        <v>30-50</v>
      </c>
      <c r="J298" s="6" t="str" cm="1">
        <f t="array" ref="J298">_xlfn.IFS(H298&gt;200000,"2 Lakhs +",H298&gt;=100000,"1-2 Lakhs",H298&lt;100000,"Below 1 Lakhs")</f>
        <v>1-2 Lakhs</v>
      </c>
    </row>
    <row r="299" spans="1:10" x14ac:dyDescent="0.25">
      <c r="A299" s="12">
        <v>298</v>
      </c>
      <c r="B299" s="6">
        <v>4130</v>
      </c>
      <c r="C299" s="12">
        <v>50</v>
      </c>
      <c r="D299" s="6" t="s">
        <v>17</v>
      </c>
      <c r="E299" s="6" t="s">
        <v>317</v>
      </c>
      <c r="F299" s="10">
        <v>25690</v>
      </c>
      <c r="G299" s="12">
        <v>25</v>
      </c>
      <c r="H299" s="8">
        <v>200843</v>
      </c>
      <c r="I299" s="6" t="str" cm="1">
        <f t="array" ref="I299">_xlfn.IFS(C299&gt;50,"50+",C299&gt;=30,"30-50",C299&lt;30,"Under 30")</f>
        <v>30-50</v>
      </c>
      <c r="J299" s="6" t="str" cm="1">
        <f t="array" ref="J299">_xlfn.IFS(H299&gt;200000,"2 Lakhs +",H299&gt;=100000,"1-2 Lakhs",H299&lt;100000,"Below 1 Lakhs")</f>
        <v>2 Lakhs +</v>
      </c>
    </row>
    <row r="300" spans="1:10" x14ac:dyDescent="0.25">
      <c r="A300" s="12">
        <v>299</v>
      </c>
      <c r="B300" s="6">
        <v>1545</v>
      </c>
      <c r="C300" s="12">
        <v>34</v>
      </c>
      <c r="D300" s="6" t="s">
        <v>10</v>
      </c>
      <c r="E300" s="6" t="s">
        <v>317</v>
      </c>
      <c r="F300" s="10">
        <v>42380</v>
      </c>
      <c r="G300" s="12">
        <v>17</v>
      </c>
      <c r="H300" s="8">
        <v>134412</v>
      </c>
      <c r="I300" s="6" t="str" cm="1">
        <f t="array" ref="I300">_xlfn.IFS(C300&gt;50,"50+",C300&gt;=30,"30-50",C300&lt;30,"Under 30")</f>
        <v>30-50</v>
      </c>
      <c r="J300" s="6" t="str" cm="1">
        <f t="array" ref="J300">_xlfn.IFS(H300&gt;200000,"2 Lakhs +",H300&gt;=100000,"1-2 Lakhs",H300&lt;100000,"Below 1 Lakhs")</f>
        <v>1-2 Lakhs</v>
      </c>
    </row>
    <row r="301" spans="1:10" x14ac:dyDescent="0.25">
      <c r="A301" s="12">
        <v>300</v>
      </c>
      <c r="B301" s="6">
        <v>8876</v>
      </c>
      <c r="C301" s="12">
        <v>58</v>
      </c>
      <c r="D301" s="6" t="s">
        <v>10</v>
      </c>
      <c r="E301" s="6" t="s">
        <v>317</v>
      </c>
      <c r="F301" s="10">
        <v>35975</v>
      </c>
      <c r="G301" s="12">
        <v>29</v>
      </c>
      <c r="H301" s="8">
        <v>232716</v>
      </c>
      <c r="I301" s="6" t="str" cm="1">
        <f t="array" ref="I301">_xlfn.IFS(C301&gt;50,"50+",C301&gt;=30,"30-50",C301&lt;30,"Under 30")</f>
        <v>50+</v>
      </c>
      <c r="J301" s="6" t="str" cm="1">
        <f t="array" ref="J301">_xlfn.IFS(H301&gt;200000,"2 Lakhs +",H301&gt;=100000,"1-2 Lakhs",H301&lt;100000,"Below 1 Lakhs")</f>
        <v>2 Lakhs +</v>
      </c>
    </row>
    <row r="302" spans="1:10" x14ac:dyDescent="0.25">
      <c r="A302" s="12">
        <v>301</v>
      </c>
      <c r="B302" s="6">
        <v>6444</v>
      </c>
      <c r="C302" s="12">
        <v>23</v>
      </c>
      <c r="D302" s="6" t="s">
        <v>8</v>
      </c>
      <c r="E302" s="6" t="s">
        <v>316</v>
      </c>
      <c r="F302" s="10">
        <v>29502</v>
      </c>
      <c r="G302" s="12">
        <v>13</v>
      </c>
      <c r="H302" s="8">
        <v>103933</v>
      </c>
      <c r="I302" s="6" t="str" cm="1">
        <f t="array" ref="I302">_xlfn.IFS(C302&gt;50,"50+",C302&gt;=30,"30-50",C302&lt;30,"Under 30")</f>
        <v>Under 30</v>
      </c>
      <c r="J302" s="6" t="str" cm="1">
        <f t="array" ref="J302">_xlfn.IFS(H302&gt;200000,"2 Lakhs +",H302&gt;=100000,"1-2 Lakhs",H302&lt;100000,"Below 1 Lakhs")</f>
        <v>1-2 Lakhs</v>
      </c>
    </row>
    <row r="303" spans="1:10" x14ac:dyDescent="0.25">
      <c r="A303" s="12">
        <v>302</v>
      </c>
      <c r="B303" s="6">
        <v>6852</v>
      </c>
      <c r="C303" s="12">
        <v>25</v>
      </c>
      <c r="D303" s="6" t="s">
        <v>10</v>
      </c>
      <c r="E303" s="6" t="s">
        <v>316</v>
      </c>
      <c r="F303" s="10">
        <v>40097</v>
      </c>
      <c r="G303" s="12">
        <v>12</v>
      </c>
      <c r="H303" s="8">
        <v>92047</v>
      </c>
      <c r="I303" s="6" t="str" cm="1">
        <f t="array" ref="I303">_xlfn.IFS(C303&gt;50,"50+",C303&gt;=30,"30-50",C303&lt;30,"Under 30")</f>
        <v>Under 30</v>
      </c>
      <c r="J303" s="6" t="str" cm="1">
        <f t="array" ref="J303">_xlfn.IFS(H303&gt;200000,"2 Lakhs +",H303&gt;=100000,"1-2 Lakhs",H303&lt;100000,"Below 1 Lakhs")</f>
        <v>Below 1 Lakhs</v>
      </c>
    </row>
    <row r="304" spans="1:10" x14ac:dyDescent="0.25">
      <c r="A304" s="12">
        <v>303</v>
      </c>
      <c r="B304" s="6">
        <v>7321</v>
      </c>
      <c r="C304" s="12">
        <v>44</v>
      </c>
      <c r="D304" s="6" t="s">
        <v>10</v>
      </c>
      <c r="E304" s="6" t="s">
        <v>317</v>
      </c>
      <c r="F304" s="10">
        <v>41570</v>
      </c>
      <c r="G304" s="12">
        <v>22</v>
      </c>
      <c r="H304" s="8">
        <v>172886</v>
      </c>
      <c r="I304" s="6" t="str" cm="1">
        <f t="array" ref="I304">_xlfn.IFS(C304&gt;50,"50+",C304&gt;=30,"30-50",C304&lt;30,"Under 30")</f>
        <v>30-50</v>
      </c>
      <c r="J304" s="6" t="str" cm="1">
        <f t="array" ref="J304">_xlfn.IFS(H304&gt;200000,"2 Lakhs +",H304&gt;=100000,"1-2 Lakhs",H304&lt;100000,"Below 1 Lakhs")</f>
        <v>1-2 Lakhs</v>
      </c>
    </row>
    <row r="305" spans="1:10" x14ac:dyDescent="0.25">
      <c r="A305" s="12">
        <v>304</v>
      </c>
      <c r="B305" s="6">
        <v>5556</v>
      </c>
      <c r="C305" s="12">
        <v>37</v>
      </c>
      <c r="D305" s="6" t="s">
        <v>17</v>
      </c>
      <c r="E305" s="6" t="s">
        <v>317</v>
      </c>
      <c r="F305" s="10">
        <v>29552</v>
      </c>
      <c r="G305" s="12">
        <v>17</v>
      </c>
      <c r="H305" s="8">
        <v>138827</v>
      </c>
      <c r="I305" s="6" t="str" cm="1">
        <f t="array" ref="I305">_xlfn.IFS(C305&gt;50,"50+",C305&gt;=30,"30-50",C305&lt;30,"Under 30")</f>
        <v>30-50</v>
      </c>
      <c r="J305" s="6" t="str" cm="1">
        <f t="array" ref="J305">_xlfn.IFS(H305&gt;200000,"2 Lakhs +",H305&gt;=100000,"1-2 Lakhs",H305&lt;100000,"Below 1 Lakhs")</f>
        <v>1-2 Lakhs</v>
      </c>
    </row>
    <row r="306" spans="1:10" x14ac:dyDescent="0.25">
      <c r="A306" s="12">
        <v>305</v>
      </c>
      <c r="B306" s="6">
        <v>2377</v>
      </c>
      <c r="C306" s="12">
        <v>46</v>
      </c>
      <c r="D306" s="6" t="s">
        <v>8</v>
      </c>
      <c r="E306" s="6" t="s">
        <v>317</v>
      </c>
      <c r="F306" s="10">
        <v>39004</v>
      </c>
      <c r="G306" s="12">
        <v>22</v>
      </c>
      <c r="H306" s="8">
        <v>180896</v>
      </c>
      <c r="I306" s="6" t="str" cm="1">
        <f t="array" ref="I306">_xlfn.IFS(C306&gt;50,"50+",C306&gt;=30,"30-50",C306&lt;30,"Under 30")</f>
        <v>30-50</v>
      </c>
      <c r="J306" s="6" t="str" cm="1">
        <f t="array" ref="J306">_xlfn.IFS(H306&gt;200000,"2 Lakhs +",H306&gt;=100000,"1-2 Lakhs",H306&lt;100000,"Below 1 Lakhs")</f>
        <v>1-2 Lakhs</v>
      </c>
    </row>
    <row r="307" spans="1:10" x14ac:dyDescent="0.25">
      <c r="A307" s="12">
        <v>306</v>
      </c>
      <c r="B307" s="6">
        <v>1169</v>
      </c>
      <c r="C307" s="12">
        <v>39</v>
      </c>
      <c r="D307" s="6" t="s">
        <v>10</v>
      </c>
      <c r="E307" s="6" t="s">
        <v>316</v>
      </c>
      <c r="F307" s="10">
        <v>34483</v>
      </c>
      <c r="G307" s="12">
        <v>17</v>
      </c>
      <c r="H307" s="8">
        <v>130190</v>
      </c>
      <c r="I307" s="6" t="str" cm="1">
        <f t="array" ref="I307">_xlfn.IFS(C307&gt;50,"50+",C307&gt;=30,"30-50",C307&lt;30,"Under 30")</f>
        <v>30-50</v>
      </c>
      <c r="J307" s="6" t="str" cm="1">
        <f t="array" ref="J307">_xlfn.IFS(H307&gt;200000,"2 Lakhs +",H307&gt;=100000,"1-2 Lakhs",H307&lt;100000,"Below 1 Lakhs")</f>
        <v>1-2 Lakhs</v>
      </c>
    </row>
    <row r="308" spans="1:10" x14ac:dyDescent="0.25">
      <c r="A308" s="12">
        <v>307</v>
      </c>
      <c r="B308" s="6">
        <v>3130</v>
      </c>
      <c r="C308" s="12">
        <v>58</v>
      </c>
      <c r="D308" s="6" t="s">
        <v>17</v>
      </c>
      <c r="E308" s="6" t="s">
        <v>317</v>
      </c>
      <c r="F308" s="10">
        <v>25658</v>
      </c>
      <c r="G308" s="12">
        <v>26</v>
      </c>
      <c r="H308" s="8">
        <v>215277</v>
      </c>
      <c r="I308" s="6" t="str" cm="1">
        <f t="array" ref="I308">_xlfn.IFS(C308&gt;50,"50+",C308&gt;=30,"30-50",C308&lt;30,"Under 30")</f>
        <v>50+</v>
      </c>
      <c r="J308" s="6" t="str" cm="1">
        <f t="array" ref="J308">_xlfn.IFS(H308&gt;200000,"2 Lakhs +",H308&gt;=100000,"1-2 Lakhs",H308&lt;100000,"Below 1 Lakhs")</f>
        <v>2 Lakhs +</v>
      </c>
    </row>
    <row r="309" spans="1:10" x14ac:dyDescent="0.25">
      <c r="A309" s="12">
        <v>308</v>
      </c>
      <c r="B309" s="6">
        <v>8296</v>
      </c>
      <c r="C309" s="12">
        <v>47</v>
      </c>
      <c r="D309" s="6" t="s">
        <v>11</v>
      </c>
      <c r="E309" s="6" t="s">
        <v>317</v>
      </c>
      <c r="F309" s="10">
        <v>27344</v>
      </c>
      <c r="G309" s="12">
        <v>26</v>
      </c>
      <c r="H309" s="8">
        <v>206424</v>
      </c>
      <c r="I309" s="6" t="str" cm="1">
        <f t="array" ref="I309">_xlfn.IFS(C309&gt;50,"50+",C309&gt;=30,"30-50",C309&lt;30,"Under 30")</f>
        <v>30-50</v>
      </c>
      <c r="J309" s="6" t="str" cm="1">
        <f t="array" ref="J309">_xlfn.IFS(H309&gt;200000,"2 Lakhs +",H309&gt;=100000,"1-2 Lakhs",H309&lt;100000,"Below 1 Lakhs")</f>
        <v>2 Lakhs +</v>
      </c>
    </row>
    <row r="310" spans="1:10" x14ac:dyDescent="0.25">
      <c r="A310" s="12">
        <v>309</v>
      </c>
      <c r="B310" s="6">
        <v>1465</v>
      </c>
      <c r="C310" s="12">
        <v>49</v>
      </c>
      <c r="D310" s="6" t="s">
        <v>13</v>
      </c>
      <c r="E310" s="6" t="s">
        <v>317</v>
      </c>
      <c r="F310" s="10">
        <v>39766</v>
      </c>
      <c r="G310" s="12">
        <v>23</v>
      </c>
      <c r="H310" s="8">
        <v>183184</v>
      </c>
      <c r="I310" s="6" t="str" cm="1">
        <f t="array" ref="I310">_xlfn.IFS(C310&gt;50,"50+",C310&gt;=30,"30-50",C310&lt;30,"Under 30")</f>
        <v>30-50</v>
      </c>
      <c r="J310" s="6" t="str" cm="1">
        <f t="array" ref="J310">_xlfn.IFS(H310&gt;200000,"2 Lakhs +",H310&gt;=100000,"1-2 Lakhs",H310&lt;100000,"Below 1 Lakhs")</f>
        <v>1-2 Lakhs</v>
      </c>
    </row>
    <row r="311" spans="1:10" x14ac:dyDescent="0.25">
      <c r="A311" s="12">
        <v>310</v>
      </c>
      <c r="B311" s="6">
        <v>2460</v>
      </c>
      <c r="C311" s="12">
        <v>49</v>
      </c>
      <c r="D311" s="6" t="s">
        <v>11</v>
      </c>
      <c r="E311" s="6" t="s">
        <v>316</v>
      </c>
      <c r="F311" s="10">
        <v>44882</v>
      </c>
      <c r="G311" s="12">
        <v>27</v>
      </c>
      <c r="H311" s="8">
        <v>214559</v>
      </c>
      <c r="I311" s="6" t="str" cm="1">
        <f t="array" ref="I311">_xlfn.IFS(C311&gt;50,"50+",C311&gt;=30,"30-50",C311&lt;30,"Under 30")</f>
        <v>30-50</v>
      </c>
      <c r="J311" s="6" t="str" cm="1">
        <f t="array" ref="J311">_xlfn.IFS(H311&gt;200000,"2 Lakhs +",H311&gt;=100000,"1-2 Lakhs",H311&lt;100000,"Below 1 Lakhs")</f>
        <v>2 Lakhs +</v>
      </c>
    </row>
    <row r="312" spans="1:10" x14ac:dyDescent="0.25">
      <c r="A312" s="12">
        <v>311</v>
      </c>
      <c r="B312" s="6">
        <v>5218</v>
      </c>
      <c r="C312" s="12">
        <v>23</v>
      </c>
      <c r="D312" s="6" t="s">
        <v>17</v>
      </c>
      <c r="E312" s="6" t="s">
        <v>316</v>
      </c>
      <c r="F312" s="10">
        <v>41064</v>
      </c>
      <c r="G312" s="12">
        <v>13</v>
      </c>
      <c r="H312" s="8">
        <v>108976</v>
      </c>
      <c r="I312" s="6" t="str" cm="1">
        <f t="array" ref="I312">_xlfn.IFS(C312&gt;50,"50+",C312&gt;=30,"30-50",C312&lt;30,"Under 30")</f>
        <v>Under 30</v>
      </c>
      <c r="J312" s="6" t="str" cm="1">
        <f t="array" ref="J312">_xlfn.IFS(H312&gt;200000,"2 Lakhs +",H312&gt;=100000,"1-2 Lakhs",H312&lt;100000,"Below 1 Lakhs")</f>
        <v>1-2 Lakhs</v>
      </c>
    </row>
    <row r="313" spans="1:10" x14ac:dyDescent="0.25">
      <c r="A313" s="12">
        <v>312</v>
      </c>
      <c r="B313" s="6">
        <v>2582</v>
      </c>
      <c r="C313" s="12">
        <v>61</v>
      </c>
      <c r="D313" s="6" t="s">
        <v>10</v>
      </c>
      <c r="E313" s="6" t="s">
        <v>316</v>
      </c>
      <c r="F313" s="10">
        <v>38435</v>
      </c>
      <c r="G313" s="12">
        <v>28</v>
      </c>
      <c r="H313" s="8">
        <v>219409</v>
      </c>
      <c r="I313" s="6" t="str" cm="1">
        <f t="array" ref="I313">_xlfn.IFS(C313&gt;50,"50+",C313&gt;=30,"30-50",C313&lt;30,"Under 30")</f>
        <v>50+</v>
      </c>
      <c r="J313" s="6" t="str" cm="1">
        <f t="array" ref="J313">_xlfn.IFS(H313&gt;200000,"2 Lakhs +",H313&gt;=100000,"1-2 Lakhs",H313&lt;100000,"Below 1 Lakhs")</f>
        <v>2 Lakhs +</v>
      </c>
    </row>
    <row r="314" spans="1:10" x14ac:dyDescent="0.25">
      <c r="A314" s="12">
        <v>313</v>
      </c>
      <c r="B314" s="6">
        <v>7872</v>
      </c>
      <c r="C314" s="12">
        <v>60</v>
      </c>
      <c r="D314" s="6" t="s">
        <v>13</v>
      </c>
      <c r="E314" s="6" t="s">
        <v>317</v>
      </c>
      <c r="F314" s="10">
        <v>43143</v>
      </c>
      <c r="G314" s="12">
        <v>28</v>
      </c>
      <c r="H314" s="8">
        <v>227772</v>
      </c>
      <c r="I314" s="6" t="str" cm="1">
        <f t="array" ref="I314">_xlfn.IFS(C314&gt;50,"50+",C314&gt;=30,"30-50",C314&lt;30,"Under 30")</f>
        <v>50+</v>
      </c>
      <c r="J314" s="6" t="str" cm="1">
        <f t="array" ref="J314">_xlfn.IFS(H314&gt;200000,"2 Lakhs +",H314&gt;=100000,"1-2 Lakhs",H314&lt;100000,"Below 1 Lakhs")</f>
        <v>2 Lakhs +</v>
      </c>
    </row>
    <row r="315" spans="1:10" x14ac:dyDescent="0.25">
      <c r="A315" s="12">
        <v>314</v>
      </c>
      <c r="B315" s="6">
        <v>1548</v>
      </c>
      <c r="C315" s="12">
        <v>47</v>
      </c>
      <c r="D315" s="6" t="s">
        <v>13</v>
      </c>
      <c r="E315" s="6" t="s">
        <v>316</v>
      </c>
      <c r="F315" s="10">
        <v>26707</v>
      </c>
      <c r="G315" s="12">
        <v>21</v>
      </c>
      <c r="H315" s="8">
        <v>165170</v>
      </c>
      <c r="I315" s="6" t="str" cm="1">
        <f t="array" ref="I315">_xlfn.IFS(C315&gt;50,"50+",C315&gt;=30,"30-50",C315&lt;30,"Under 30")</f>
        <v>30-50</v>
      </c>
      <c r="J315" s="6" t="str" cm="1">
        <f t="array" ref="J315">_xlfn.IFS(H315&gt;200000,"2 Lakhs +",H315&gt;=100000,"1-2 Lakhs",H315&lt;100000,"Below 1 Lakhs")</f>
        <v>1-2 Lakhs</v>
      </c>
    </row>
    <row r="316" spans="1:10" x14ac:dyDescent="0.25">
      <c r="A316" s="12">
        <v>315</v>
      </c>
      <c r="B316" s="6">
        <v>6510</v>
      </c>
      <c r="C316" s="12">
        <v>64</v>
      </c>
      <c r="D316" s="6" t="s">
        <v>8</v>
      </c>
      <c r="E316" s="6" t="s">
        <v>316</v>
      </c>
      <c r="F316" s="10">
        <v>36007</v>
      </c>
      <c r="G316" s="12">
        <v>29</v>
      </c>
      <c r="H316" s="8">
        <v>234199</v>
      </c>
      <c r="I316" s="6" t="str" cm="1">
        <f t="array" ref="I316">_xlfn.IFS(C316&gt;50,"50+",C316&gt;=30,"30-50",C316&lt;30,"Under 30")</f>
        <v>50+</v>
      </c>
      <c r="J316" s="6" t="str" cm="1">
        <f t="array" ref="J316">_xlfn.IFS(H316&gt;200000,"2 Lakhs +",H316&gt;=100000,"1-2 Lakhs",H316&lt;100000,"Below 1 Lakhs")</f>
        <v>2 Lakhs +</v>
      </c>
    </row>
    <row r="317" spans="1:10" x14ac:dyDescent="0.25">
      <c r="A317" s="12">
        <v>316</v>
      </c>
      <c r="B317" s="6">
        <v>6788</v>
      </c>
      <c r="C317" s="12">
        <v>48</v>
      </c>
      <c r="D317" s="6" t="s">
        <v>8</v>
      </c>
      <c r="E317" s="6" t="s">
        <v>316</v>
      </c>
      <c r="F317" s="10">
        <v>30833</v>
      </c>
      <c r="G317" s="12">
        <v>26</v>
      </c>
      <c r="H317" s="8">
        <v>212050</v>
      </c>
      <c r="I317" s="6" t="str" cm="1">
        <f t="array" ref="I317">_xlfn.IFS(C317&gt;50,"50+",C317&gt;=30,"30-50",C317&lt;30,"Under 30")</f>
        <v>30-50</v>
      </c>
      <c r="J317" s="6" t="str" cm="1">
        <f t="array" ref="J317">_xlfn.IFS(H317&gt;200000,"2 Lakhs +",H317&gt;=100000,"1-2 Lakhs",H317&lt;100000,"Below 1 Lakhs")</f>
        <v>2 Lakhs +</v>
      </c>
    </row>
    <row r="318" spans="1:10" x14ac:dyDescent="0.25">
      <c r="A318" s="12">
        <v>317</v>
      </c>
      <c r="B318" s="6">
        <v>7404</v>
      </c>
      <c r="C318" s="12">
        <v>54</v>
      </c>
      <c r="D318" s="6" t="s">
        <v>17</v>
      </c>
      <c r="E318" s="6" t="s">
        <v>317</v>
      </c>
      <c r="F318" s="10">
        <v>43397</v>
      </c>
      <c r="G318" s="12">
        <v>31</v>
      </c>
      <c r="H318" s="8">
        <v>249856</v>
      </c>
      <c r="I318" s="6" t="str" cm="1">
        <f t="array" ref="I318">_xlfn.IFS(C318&gt;50,"50+",C318&gt;=30,"30-50",C318&lt;30,"Under 30")</f>
        <v>50+</v>
      </c>
      <c r="J318" s="6" t="str" cm="1">
        <f t="array" ref="J318">_xlfn.IFS(H318&gt;200000,"2 Lakhs +",H318&gt;=100000,"1-2 Lakhs",H318&lt;100000,"Below 1 Lakhs")</f>
        <v>2 Lakhs +</v>
      </c>
    </row>
    <row r="319" spans="1:10" x14ac:dyDescent="0.25">
      <c r="A319" s="12">
        <v>318</v>
      </c>
      <c r="B319" s="6">
        <v>6438</v>
      </c>
      <c r="C319" s="12">
        <v>37</v>
      </c>
      <c r="D319" s="6" t="s">
        <v>11</v>
      </c>
      <c r="E319" s="6" t="s">
        <v>317</v>
      </c>
      <c r="F319" s="10">
        <v>40253</v>
      </c>
      <c r="G319" s="12">
        <v>18</v>
      </c>
      <c r="H319" s="8">
        <v>149464</v>
      </c>
      <c r="I319" s="6" t="str" cm="1">
        <f t="array" ref="I319">_xlfn.IFS(C319&gt;50,"50+",C319&gt;=30,"30-50",C319&lt;30,"Under 30")</f>
        <v>30-50</v>
      </c>
      <c r="J319" s="6" t="str" cm="1">
        <f t="array" ref="J319">_xlfn.IFS(H319&gt;200000,"2 Lakhs +",H319&gt;=100000,"1-2 Lakhs",H319&lt;100000,"Below 1 Lakhs")</f>
        <v>1-2 Lakhs</v>
      </c>
    </row>
    <row r="320" spans="1:10" x14ac:dyDescent="0.25">
      <c r="A320" s="12">
        <v>319</v>
      </c>
      <c r="B320" s="6">
        <v>4847</v>
      </c>
      <c r="C320" s="12">
        <v>37</v>
      </c>
      <c r="D320" s="6" t="s">
        <v>10</v>
      </c>
      <c r="E320" s="6" t="s">
        <v>317</v>
      </c>
      <c r="F320" s="10">
        <v>27184</v>
      </c>
      <c r="G320" s="12">
        <v>16</v>
      </c>
      <c r="H320" s="8">
        <v>124970</v>
      </c>
      <c r="I320" s="6" t="str" cm="1">
        <f t="array" ref="I320">_xlfn.IFS(C320&gt;50,"50+",C320&gt;=30,"30-50",C320&lt;30,"Under 30")</f>
        <v>30-50</v>
      </c>
      <c r="J320" s="6" t="str" cm="1">
        <f t="array" ref="J320">_xlfn.IFS(H320&gt;200000,"2 Lakhs +",H320&gt;=100000,"1-2 Lakhs",H320&lt;100000,"Below 1 Lakhs")</f>
        <v>1-2 Lakhs</v>
      </c>
    </row>
    <row r="321" spans="1:10" x14ac:dyDescent="0.25">
      <c r="A321" s="12">
        <v>320</v>
      </c>
      <c r="B321" s="6">
        <v>7292</v>
      </c>
      <c r="C321" s="12">
        <v>61</v>
      </c>
      <c r="D321" s="6" t="s">
        <v>13</v>
      </c>
      <c r="E321" s="6" t="s">
        <v>317</v>
      </c>
      <c r="F321" s="10">
        <v>39194</v>
      </c>
      <c r="G321" s="12">
        <v>32</v>
      </c>
      <c r="H321" s="8">
        <v>256982</v>
      </c>
      <c r="I321" s="6" t="str" cm="1">
        <f t="array" ref="I321">_xlfn.IFS(C321&gt;50,"50+",C321&gt;=30,"30-50",C321&lt;30,"Under 30")</f>
        <v>50+</v>
      </c>
      <c r="J321" s="6" t="str" cm="1">
        <f t="array" ref="J321">_xlfn.IFS(H321&gt;200000,"2 Lakhs +",H321&gt;=100000,"1-2 Lakhs",H321&lt;100000,"Below 1 Lakhs")</f>
        <v>2 Lakhs +</v>
      </c>
    </row>
    <row r="322" spans="1:10" x14ac:dyDescent="0.25">
      <c r="A322" s="12">
        <v>321</v>
      </c>
      <c r="B322" s="6">
        <v>6925</v>
      </c>
      <c r="C322" s="12">
        <v>61</v>
      </c>
      <c r="D322" s="6" t="s">
        <v>17</v>
      </c>
      <c r="E322" s="6" t="s">
        <v>316</v>
      </c>
      <c r="F322" s="10">
        <v>30611</v>
      </c>
      <c r="G322" s="12">
        <v>31</v>
      </c>
      <c r="H322" s="8">
        <v>243928</v>
      </c>
      <c r="I322" s="6" t="str" cm="1">
        <f t="array" ref="I322">_xlfn.IFS(C322&gt;50,"50+",C322&gt;=30,"30-50",C322&lt;30,"Under 30")</f>
        <v>50+</v>
      </c>
      <c r="J322" s="6" t="str" cm="1">
        <f t="array" ref="J322">_xlfn.IFS(H322&gt;200000,"2 Lakhs +",H322&gt;=100000,"1-2 Lakhs",H322&lt;100000,"Below 1 Lakhs")</f>
        <v>2 Lakhs +</v>
      </c>
    </row>
    <row r="323" spans="1:10" x14ac:dyDescent="0.25">
      <c r="A323" s="12">
        <v>322</v>
      </c>
      <c r="B323" s="6">
        <v>2232</v>
      </c>
      <c r="C323" s="12">
        <v>46</v>
      </c>
      <c r="D323" s="6" t="s">
        <v>13</v>
      </c>
      <c r="E323" s="6" t="s">
        <v>317</v>
      </c>
      <c r="F323" s="10">
        <v>34450</v>
      </c>
      <c r="G323" s="12">
        <v>23</v>
      </c>
      <c r="H323" s="8">
        <v>189606</v>
      </c>
      <c r="I323" s="6" t="str" cm="1">
        <f t="array" ref="I323">_xlfn.IFS(C323&gt;50,"50+",C323&gt;=30,"30-50",C323&lt;30,"Under 30")</f>
        <v>30-50</v>
      </c>
      <c r="J323" s="6" t="str" cm="1">
        <f t="array" ref="J323">_xlfn.IFS(H323&gt;200000,"2 Lakhs +",H323&gt;=100000,"1-2 Lakhs",H323&lt;100000,"Below 1 Lakhs")</f>
        <v>1-2 Lakhs</v>
      </c>
    </row>
    <row r="324" spans="1:10" x14ac:dyDescent="0.25">
      <c r="A324" s="12">
        <v>323</v>
      </c>
      <c r="B324" s="6">
        <v>3471</v>
      </c>
      <c r="C324" s="12">
        <v>32</v>
      </c>
      <c r="D324" s="6" t="s">
        <v>11</v>
      </c>
      <c r="E324" s="6" t="s">
        <v>316</v>
      </c>
      <c r="F324" s="10">
        <v>39743</v>
      </c>
      <c r="G324" s="12">
        <v>16</v>
      </c>
      <c r="H324" s="8">
        <v>124879</v>
      </c>
      <c r="I324" s="6" t="str" cm="1">
        <f t="array" ref="I324">_xlfn.IFS(C324&gt;50,"50+",C324&gt;=30,"30-50",C324&lt;30,"Under 30")</f>
        <v>30-50</v>
      </c>
      <c r="J324" s="6" t="str" cm="1">
        <f t="array" ref="J324">_xlfn.IFS(H324&gt;200000,"2 Lakhs +",H324&gt;=100000,"1-2 Lakhs",H324&lt;100000,"Below 1 Lakhs")</f>
        <v>1-2 Lakhs</v>
      </c>
    </row>
    <row r="325" spans="1:10" x14ac:dyDescent="0.25">
      <c r="A325" s="12">
        <v>324</v>
      </c>
      <c r="B325" s="6">
        <v>3537</v>
      </c>
      <c r="C325" s="12">
        <v>34</v>
      </c>
      <c r="D325" s="6" t="s">
        <v>8</v>
      </c>
      <c r="E325" s="6" t="s">
        <v>317</v>
      </c>
      <c r="F325" s="10">
        <v>43135</v>
      </c>
      <c r="G325" s="12">
        <v>15</v>
      </c>
      <c r="H325" s="8">
        <v>121239</v>
      </c>
      <c r="I325" s="6" t="str" cm="1">
        <f t="array" ref="I325">_xlfn.IFS(C325&gt;50,"50+",C325&gt;=30,"30-50",C325&lt;30,"Under 30")</f>
        <v>30-50</v>
      </c>
      <c r="J325" s="6" t="str" cm="1">
        <f t="array" ref="J325">_xlfn.IFS(H325&gt;200000,"2 Lakhs +",H325&gt;=100000,"1-2 Lakhs",H325&lt;100000,"Below 1 Lakhs")</f>
        <v>1-2 Lakhs</v>
      </c>
    </row>
    <row r="326" spans="1:10" x14ac:dyDescent="0.25">
      <c r="A326" s="12">
        <v>325</v>
      </c>
      <c r="B326" s="6">
        <v>9164</v>
      </c>
      <c r="C326" s="12">
        <v>25</v>
      </c>
      <c r="D326" s="6" t="s">
        <v>8</v>
      </c>
      <c r="E326" s="6" t="s">
        <v>316</v>
      </c>
      <c r="F326" s="10">
        <v>43672</v>
      </c>
      <c r="G326" s="12">
        <v>9</v>
      </c>
      <c r="H326" s="8">
        <v>75895</v>
      </c>
      <c r="I326" s="6" t="str" cm="1">
        <f t="array" ref="I326">_xlfn.IFS(C326&gt;50,"50+",C326&gt;=30,"30-50",C326&lt;30,"Under 30")</f>
        <v>Under 30</v>
      </c>
      <c r="J326" s="6" t="str" cm="1">
        <f t="array" ref="J326">_xlfn.IFS(H326&gt;200000,"2 Lakhs +",H326&gt;=100000,"1-2 Lakhs",H326&lt;100000,"Below 1 Lakhs")</f>
        <v>Below 1 Lakhs</v>
      </c>
    </row>
    <row r="327" spans="1:10" x14ac:dyDescent="0.25">
      <c r="A327" s="12">
        <v>326</v>
      </c>
      <c r="B327" s="6">
        <v>6318</v>
      </c>
      <c r="C327" s="12">
        <v>42</v>
      </c>
      <c r="D327" s="6" t="s">
        <v>11</v>
      </c>
      <c r="E327" s="6" t="s">
        <v>316</v>
      </c>
      <c r="F327" s="10">
        <v>29526</v>
      </c>
      <c r="G327" s="12">
        <v>22</v>
      </c>
      <c r="H327" s="8">
        <v>176472</v>
      </c>
      <c r="I327" s="6" t="str" cm="1">
        <f t="array" ref="I327">_xlfn.IFS(C327&gt;50,"50+",C327&gt;=30,"30-50",C327&lt;30,"Under 30")</f>
        <v>30-50</v>
      </c>
      <c r="J327" s="6" t="str" cm="1">
        <f t="array" ref="J327">_xlfn.IFS(H327&gt;200000,"2 Lakhs +",H327&gt;=100000,"1-2 Lakhs",H327&lt;100000,"Below 1 Lakhs")</f>
        <v>1-2 Lakhs</v>
      </c>
    </row>
    <row r="328" spans="1:10" x14ac:dyDescent="0.25">
      <c r="A328" s="12">
        <v>327</v>
      </c>
      <c r="B328" s="6">
        <v>9734</v>
      </c>
      <c r="C328" s="12">
        <v>52</v>
      </c>
      <c r="D328" s="6" t="s">
        <v>11</v>
      </c>
      <c r="E328" s="6" t="s">
        <v>317</v>
      </c>
      <c r="F328" s="10">
        <v>40774</v>
      </c>
      <c r="G328" s="12">
        <v>27</v>
      </c>
      <c r="H328" s="8">
        <v>212809</v>
      </c>
      <c r="I328" s="6" t="str" cm="1">
        <f t="array" ref="I328">_xlfn.IFS(C328&gt;50,"50+",C328&gt;=30,"30-50",C328&lt;30,"Under 30")</f>
        <v>50+</v>
      </c>
      <c r="J328" s="6" t="str" cm="1">
        <f t="array" ref="J328">_xlfn.IFS(H328&gt;200000,"2 Lakhs +",H328&gt;=100000,"1-2 Lakhs",H328&lt;100000,"Below 1 Lakhs")</f>
        <v>2 Lakhs +</v>
      </c>
    </row>
    <row r="329" spans="1:10" x14ac:dyDescent="0.25">
      <c r="A329" s="12">
        <v>328</v>
      </c>
      <c r="B329" s="6">
        <v>6820</v>
      </c>
      <c r="C329" s="12">
        <v>42</v>
      </c>
      <c r="D329" s="6" t="s">
        <v>10</v>
      </c>
      <c r="E329" s="6" t="s">
        <v>316</v>
      </c>
      <c r="F329" s="10">
        <v>29839</v>
      </c>
      <c r="G329" s="12">
        <v>20</v>
      </c>
      <c r="H329" s="8">
        <v>163828</v>
      </c>
      <c r="I329" s="6" t="str" cm="1">
        <f t="array" ref="I329">_xlfn.IFS(C329&gt;50,"50+",C329&gt;=30,"30-50",C329&lt;30,"Under 30")</f>
        <v>30-50</v>
      </c>
      <c r="J329" s="6" t="str" cm="1">
        <f t="array" ref="J329">_xlfn.IFS(H329&gt;200000,"2 Lakhs +",H329&gt;=100000,"1-2 Lakhs",H329&lt;100000,"Below 1 Lakhs")</f>
        <v>1-2 Lakhs</v>
      </c>
    </row>
    <row r="330" spans="1:10" x14ac:dyDescent="0.25">
      <c r="A330" s="12">
        <v>329</v>
      </c>
      <c r="B330" s="6">
        <v>5827</v>
      </c>
      <c r="C330" s="12">
        <v>27</v>
      </c>
      <c r="D330" s="6" t="s">
        <v>13</v>
      </c>
      <c r="E330" s="6" t="s">
        <v>316</v>
      </c>
      <c r="F330" s="10">
        <v>33797</v>
      </c>
      <c r="G330" s="12">
        <v>13</v>
      </c>
      <c r="H330" s="8">
        <v>108619</v>
      </c>
      <c r="I330" s="6" t="str" cm="1">
        <f t="array" ref="I330">_xlfn.IFS(C330&gt;50,"50+",C330&gt;=30,"30-50",C330&lt;30,"Under 30")</f>
        <v>Under 30</v>
      </c>
      <c r="J330" s="6" t="str" cm="1">
        <f t="array" ref="J330">_xlfn.IFS(H330&gt;200000,"2 Lakhs +",H330&gt;=100000,"1-2 Lakhs",H330&lt;100000,"Below 1 Lakhs")</f>
        <v>1-2 Lakhs</v>
      </c>
    </row>
    <row r="331" spans="1:10" x14ac:dyDescent="0.25">
      <c r="A331" s="12">
        <v>330</v>
      </c>
      <c r="B331" s="6">
        <v>5708</v>
      </c>
      <c r="C331" s="12">
        <v>37</v>
      </c>
      <c r="D331" s="6" t="s">
        <v>13</v>
      </c>
      <c r="E331" s="6" t="s">
        <v>317</v>
      </c>
      <c r="F331" s="10">
        <v>32970</v>
      </c>
      <c r="G331" s="12">
        <v>19</v>
      </c>
      <c r="H331" s="8">
        <v>152992</v>
      </c>
      <c r="I331" s="6" t="str" cm="1">
        <f t="array" ref="I331">_xlfn.IFS(C331&gt;50,"50+",C331&gt;=30,"30-50",C331&lt;30,"Under 30")</f>
        <v>30-50</v>
      </c>
      <c r="J331" s="6" t="str" cm="1">
        <f t="array" ref="J331">_xlfn.IFS(H331&gt;200000,"2 Lakhs +",H331&gt;=100000,"1-2 Lakhs",H331&lt;100000,"Below 1 Lakhs")</f>
        <v>1-2 Lakhs</v>
      </c>
    </row>
    <row r="332" spans="1:10" x14ac:dyDescent="0.25">
      <c r="A332" s="12">
        <v>331</v>
      </c>
      <c r="B332" s="6">
        <v>9126</v>
      </c>
      <c r="C332" s="12">
        <v>43</v>
      </c>
      <c r="D332" s="6" t="s">
        <v>11</v>
      </c>
      <c r="E332" s="6" t="s">
        <v>316</v>
      </c>
      <c r="F332" s="10">
        <v>37491</v>
      </c>
      <c r="G332" s="12">
        <v>20</v>
      </c>
      <c r="H332" s="8">
        <v>154462</v>
      </c>
      <c r="I332" s="6" t="str" cm="1">
        <f t="array" ref="I332">_xlfn.IFS(C332&gt;50,"50+",C332&gt;=30,"30-50",C332&lt;30,"Under 30")</f>
        <v>30-50</v>
      </c>
      <c r="J332" s="6" t="str" cm="1">
        <f t="array" ref="J332">_xlfn.IFS(H332&gt;200000,"2 Lakhs +",H332&gt;=100000,"1-2 Lakhs",H332&lt;100000,"Below 1 Lakhs")</f>
        <v>1-2 Lakhs</v>
      </c>
    </row>
    <row r="333" spans="1:10" x14ac:dyDescent="0.25">
      <c r="A333" s="12">
        <v>332</v>
      </c>
      <c r="B333" s="6">
        <v>1862</v>
      </c>
      <c r="C333" s="12">
        <v>39</v>
      </c>
      <c r="D333" s="6" t="s">
        <v>10</v>
      </c>
      <c r="E333" s="6" t="s">
        <v>317</v>
      </c>
      <c r="F333" s="10">
        <v>42730</v>
      </c>
      <c r="G333" s="12">
        <v>18</v>
      </c>
      <c r="H333" s="8">
        <v>143605</v>
      </c>
      <c r="I333" s="6" t="str" cm="1">
        <f t="array" ref="I333">_xlfn.IFS(C333&gt;50,"50+",C333&gt;=30,"30-50",C333&lt;30,"Under 30")</f>
        <v>30-50</v>
      </c>
      <c r="J333" s="6" t="str" cm="1">
        <f t="array" ref="J333">_xlfn.IFS(H333&gt;200000,"2 Lakhs +",H333&gt;=100000,"1-2 Lakhs",H333&lt;100000,"Below 1 Lakhs")</f>
        <v>1-2 Lakhs</v>
      </c>
    </row>
    <row r="334" spans="1:10" x14ac:dyDescent="0.25">
      <c r="A334" s="12">
        <v>333</v>
      </c>
      <c r="B334" s="6">
        <v>3905</v>
      </c>
      <c r="C334" s="12">
        <v>39</v>
      </c>
      <c r="D334" s="6" t="s">
        <v>8</v>
      </c>
      <c r="E334" s="6" t="s">
        <v>316</v>
      </c>
      <c r="F334" s="10">
        <v>35580</v>
      </c>
      <c r="G334" s="12">
        <v>15</v>
      </c>
      <c r="H334" s="8">
        <v>117870</v>
      </c>
      <c r="I334" s="6" t="str" cm="1">
        <f t="array" ref="I334">_xlfn.IFS(C334&gt;50,"50+",C334&gt;=30,"30-50",C334&lt;30,"Under 30")</f>
        <v>30-50</v>
      </c>
      <c r="J334" s="6" t="str" cm="1">
        <f t="array" ref="J334">_xlfn.IFS(H334&gt;200000,"2 Lakhs +",H334&gt;=100000,"1-2 Lakhs",H334&lt;100000,"Below 1 Lakhs")</f>
        <v>1-2 Lakhs</v>
      </c>
    </row>
    <row r="335" spans="1:10" x14ac:dyDescent="0.25">
      <c r="A335" s="12">
        <v>334</v>
      </c>
      <c r="B335" s="6">
        <v>5504</v>
      </c>
      <c r="C335" s="12">
        <v>54</v>
      </c>
      <c r="D335" s="6" t="s">
        <v>8</v>
      </c>
      <c r="E335" s="6" t="s">
        <v>317</v>
      </c>
      <c r="F335" s="10">
        <v>39631</v>
      </c>
      <c r="G335" s="12">
        <v>28</v>
      </c>
      <c r="H335" s="8">
        <v>223902</v>
      </c>
      <c r="I335" s="6" t="str" cm="1">
        <f t="array" ref="I335">_xlfn.IFS(C335&gt;50,"50+",C335&gt;=30,"30-50",C335&lt;30,"Under 30")</f>
        <v>50+</v>
      </c>
      <c r="J335" s="6" t="str" cm="1">
        <f t="array" ref="J335">_xlfn.IFS(H335&gt;200000,"2 Lakhs +",H335&gt;=100000,"1-2 Lakhs",H335&lt;100000,"Below 1 Lakhs")</f>
        <v>2 Lakhs +</v>
      </c>
    </row>
    <row r="336" spans="1:10" x14ac:dyDescent="0.25">
      <c r="A336" s="12">
        <v>335</v>
      </c>
      <c r="B336" s="6">
        <v>1819</v>
      </c>
      <c r="C336" s="12">
        <v>31</v>
      </c>
      <c r="D336" s="6" t="s">
        <v>13</v>
      </c>
      <c r="E336" s="6" t="s">
        <v>317</v>
      </c>
      <c r="F336" s="10">
        <v>39961</v>
      </c>
      <c r="G336" s="12">
        <v>14</v>
      </c>
      <c r="H336" s="8">
        <v>115875</v>
      </c>
      <c r="I336" s="6" t="str" cm="1">
        <f t="array" ref="I336">_xlfn.IFS(C336&gt;50,"50+",C336&gt;=30,"30-50",C336&lt;30,"Under 30")</f>
        <v>30-50</v>
      </c>
      <c r="J336" s="6" t="str" cm="1">
        <f t="array" ref="J336">_xlfn.IFS(H336&gt;200000,"2 Lakhs +",H336&gt;=100000,"1-2 Lakhs",H336&lt;100000,"Below 1 Lakhs")</f>
        <v>1-2 Lakhs</v>
      </c>
    </row>
    <row r="337" spans="1:10" x14ac:dyDescent="0.25">
      <c r="A337" s="12">
        <v>336</v>
      </c>
      <c r="B337" s="6">
        <v>2901</v>
      </c>
      <c r="C337" s="12">
        <v>46</v>
      </c>
      <c r="D337" s="6" t="s">
        <v>11</v>
      </c>
      <c r="E337" s="6" t="s">
        <v>316</v>
      </c>
      <c r="F337" s="10">
        <v>38082</v>
      </c>
      <c r="G337" s="12">
        <v>24</v>
      </c>
      <c r="H337" s="8">
        <v>187168</v>
      </c>
      <c r="I337" s="6" t="str" cm="1">
        <f t="array" ref="I337">_xlfn.IFS(C337&gt;50,"50+",C337&gt;=30,"30-50",C337&lt;30,"Under 30")</f>
        <v>30-50</v>
      </c>
      <c r="J337" s="6" t="str" cm="1">
        <f t="array" ref="J337">_xlfn.IFS(H337&gt;200000,"2 Lakhs +",H337&gt;=100000,"1-2 Lakhs",H337&lt;100000,"Below 1 Lakhs")</f>
        <v>1-2 Lakhs</v>
      </c>
    </row>
    <row r="338" spans="1:10" x14ac:dyDescent="0.25">
      <c r="A338" s="12">
        <v>337</v>
      </c>
      <c r="B338" s="6">
        <v>8229</v>
      </c>
      <c r="C338" s="12">
        <v>64</v>
      </c>
      <c r="D338" s="6" t="s">
        <v>11</v>
      </c>
      <c r="E338" s="6" t="s">
        <v>317</v>
      </c>
      <c r="F338" s="10">
        <v>35757</v>
      </c>
      <c r="G338" s="12">
        <v>33</v>
      </c>
      <c r="H338" s="8">
        <v>265624</v>
      </c>
      <c r="I338" s="6" t="str" cm="1">
        <f t="array" ref="I338">_xlfn.IFS(C338&gt;50,"50+",C338&gt;=30,"30-50",C338&lt;30,"Under 30")</f>
        <v>50+</v>
      </c>
      <c r="J338" s="6" t="str" cm="1">
        <f t="array" ref="J338">_xlfn.IFS(H338&gt;200000,"2 Lakhs +",H338&gt;=100000,"1-2 Lakhs",H338&lt;100000,"Below 1 Lakhs")</f>
        <v>2 Lakhs +</v>
      </c>
    </row>
    <row r="339" spans="1:10" x14ac:dyDescent="0.25">
      <c r="A339" s="12">
        <v>338</v>
      </c>
      <c r="B339" s="6">
        <v>9442</v>
      </c>
      <c r="C339" s="12">
        <v>62</v>
      </c>
      <c r="D339" s="6" t="s">
        <v>11</v>
      </c>
      <c r="E339" s="6" t="s">
        <v>316</v>
      </c>
      <c r="F339" s="10">
        <v>36899</v>
      </c>
      <c r="G339" s="12">
        <v>32</v>
      </c>
      <c r="H339" s="8">
        <v>259400</v>
      </c>
      <c r="I339" s="6" t="str" cm="1">
        <f t="array" ref="I339">_xlfn.IFS(C339&gt;50,"50+",C339&gt;=30,"30-50",C339&lt;30,"Under 30")</f>
        <v>50+</v>
      </c>
      <c r="J339" s="6" t="str" cm="1">
        <f t="array" ref="J339">_xlfn.IFS(H339&gt;200000,"2 Lakhs +",H339&gt;=100000,"1-2 Lakhs",H339&lt;100000,"Below 1 Lakhs")</f>
        <v>2 Lakhs +</v>
      </c>
    </row>
    <row r="340" spans="1:10" x14ac:dyDescent="0.25">
      <c r="A340" s="12">
        <v>339</v>
      </c>
      <c r="B340" s="6">
        <v>4796</v>
      </c>
      <c r="C340" s="12">
        <v>28</v>
      </c>
      <c r="D340" s="6" t="s">
        <v>8</v>
      </c>
      <c r="E340" s="6" t="s">
        <v>317</v>
      </c>
      <c r="F340" s="10">
        <v>31129</v>
      </c>
      <c r="G340" s="12">
        <v>15</v>
      </c>
      <c r="H340" s="8">
        <v>113486</v>
      </c>
      <c r="I340" s="6" t="str" cm="1">
        <f t="array" ref="I340">_xlfn.IFS(C340&gt;50,"50+",C340&gt;=30,"30-50",C340&lt;30,"Under 30")</f>
        <v>Under 30</v>
      </c>
      <c r="J340" s="6" t="str" cm="1">
        <f t="array" ref="J340">_xlfn.IFS(H340&gt;200000,"2 Lakhs +",H340&gt;=100000,"1-2 Lakhs",H340&lt;100000,"Below 1 Lakhs")</f>
        <v>1-2 Lakhs</v>
      </c>
    </row>
    <row r="341" spans="1:10" x14ac:dyDescent="0.25">
      <c r="A341" s="12">
        <v>340</v>
      </c>
      <c r="B341" s="6">
        <v>1890</v>
      </c>
      <c r="C341" s="12">
        <v>26</v>
      </c>
      <c r="D341" s="6" t="s">
        <v>11</v>
      </c>
      <c r="E341" s="6" t="s">
        <v>317</v>
      </c>
      <c r="F341" s="10">
        <v>32540</v>
      </c>
      <c r="G341" s="12">
        <v>13</v>
      </c>
      <c r="H341" s="8">
        <v>102162</v>
      </c>
      <c r="I341" s="6" t="str" cm="1">
        <f t="array" ref="I341">_xlfn.IFS(C341&gt;50,"50+",C341&gt;=30,"30-50",C341&lt;30,"Under 30")</f>
        <v>Under 30</v>
      </c>
      <c r="J341" s="6" t="str" cm="1">
        <f t="array" ref="J341">_xlfn.IFS(H341&gt;200000,"2 Lakhs +",H341&gt;=100000,"1-2 Lakhs",H341&lt;100000,"Below 1 Lakhs")</f>
        <v>1-2 Lakhs</v>
      </c>
    </row>
    <row r="342" spans="1:10" x14ac:dyDescent="0.25">
      <c r="A342" s="12">
        <v>341</v>
      </c>
      <c r="B342" s="6">
        <v>2321</v>
      </c>
      <c r="C342" s="12">
        <v>52</v>
      </c>
      <c r="D342" s="6" t="s">
        <v>13</v>
      </c>
      <c r="E342" s="6" t="s">
        <v>317</v>
      </c>
      <c r="F342" s="10">
        <v>36723</v>
      </c>
      <c r="G342" s="12">
        <v>25</v>
      </c>
      <c r="H342" s="8">
        <v>200331</v>
      </c>
      <c r="I342" s="6" t="str" cm="1">
        <f t="array" ref="I342">_xlfn.IFS(C342&gt;50,"50+",C342&gt;=30,"30-50",C342&lt;30,"Under 30")</f>
        <v>50+</v>
      </c>
      <c r="J342" s="6" t="str" cm="1">
        <f t="array" ref="J342">_xlfn.IFS(H342&gt;200000,"2 Lakhs +",H342&gt;=100000,"1-2 Lakhs",H342&lt;100000,"Below 1 Lakhs")</f>
        <v>2 Lakhs +</v>
      </c>
    </row>
    <row r="343" spans="1:10" x14ac:dyDescent="0.25">
      <c r="A343" s="12">
        <v>342</v>
      </c>
      <c r="B343" s="6">
        <v>6947</v>
      </c>
      <c r="C343" s="12">
        <v>35</v>
      </c>
      <c r="D343" s="6" t="s">
        <v>8</v>
      </c>
      <c r="E343" s="6" t="s">
        <v>317</v>
      </c>
      <c r="F343" s="10">
        <v>33191</v>
      </c>
      <c r="G343" s="12">
        <v>18</v>
      </c>
      <c r="H343" s="8">
        <v>143134</v>
      </c>
      <c r="I343" s="6" t="str" cm="1">
        <f t="array" ref="I343">_xlfn.IFS(C343&gt;50,"50+",C343&gt;=30,"30-50",C343&lt;30,"Under 30")</f>
        <v>30-50</v>
      </c>
      <c r="J343" s="6" t="str" cm="1">
        <f t="array" ref="J343">_xlfn.IFS(H343&gt;200000,"2 Lakhs +",H343&gt;=100000,"1-2 Lakhs",H343&lt;100000,"Below 1 Lakhs")</f>
        <v>1-2 Lakhs</v>
      </c>
    </row>
    <row r="344" spans="1:10" x14ac:dyDescent="0.25">
      <c r="A344" s="12">
        <v>343</v>
      </c>
      <c r="B344" s="6">
        <v>2401</v>
      </c>
      <c r="C344" s="12">
        <v>41</v>
      </c>
      <c r="D344" s="6" t="s">
        <v>10</v>
      </c>
      <c r="E344" s="6" t="s">
        <v>317</v>
      </c>
      <c r="F344" s="10">
        <v>25830</v>
      </c>
      <c r="G344" s="12">
        <v>20</v>
      </c>
      <c r="H344" s="8">
        <v>152367</v>
      </c>
      <c r="I344" s="6" t="str" cm="1">
        <f t="array" ref="I344">_xlfn.IFS(C344&gt;50,"50+",C344&gt;=30,"30-50",C344&lt;30,"Under 30")</f>
        <v>30-50</v>
      </c>
      <c r="J344" s="6" t="str" cm="1">
        <f t="array" ref="J344">_xlfn.IFS(H344&gt;200000,"2 Lakhs +",H344&gt;=100000,"1-2 Lakhs",H344&lt;100000,"Below 1 Lakhs")</f>
        <v>1-2 Lakhs</v>
      </c>
    </row>
    <row r="345" spans="1:10" x14ac:dyDescent="0.25">
      <c r="A345" s="12">
        <v>344</v>
      </c>
      <c r="B345" s="6">
        <v>3015</v>
      </c>
      <c r="C345" s="12">
        <v>62</v>
      </c>
      <c r="D345" s="6" t="s">
        <v>17</v>
      </c>
      <c r="E345" s="6" t="s">
        <v>316</v>
      </c>
      <c r="F345" s="10">
        <v>43021</v>
      </c>
      <c r="G345" s="12">
        <v>31</v>
      </c>
      <c r="H345" s="8">
        <v>241831</v>
      </c>
      <c r="I345" s="6" t="str" cm="1">
        <f t="array" ref="I345">_xlfn.IFS(C345&gt;50,"50+",C345&gt;=30,"30-50",C345&lt;30,"Under 30")</f>
        <v>50+</v>
      </c>
      <c r="J345" s="6" t="str" cm="1">
        <f t="array" ref="J345">_xlfn.IFS(H345&gt;200000,"2 Lakhs +",H345&gt;=100000,"1-2 Lakhs",H345&lt;100000,"Below 1 Lakhs")</f>
        <v>2 Lakhs +</v>
      </c>
    </row>
    <row r="346" spans="1:10" x14ac:dyDescent="0.25">
      <c r="A346" s="12">
        <v>345</v>
      </c>
      <c r="B346" s="6">
        <v>6354</v>
      </c>
      <c r="C346" s="12">
        <v>46</v>
      </c>
      <c r="D346" s="6" t="s">
        <v>8</v>
      </c>
      <c r="E346" s="6" t="s">
        <v>317</v>
      </c>
      <c r="F346" s="10">
        <v>43886</v>
      </c>
      <c r="G346" s="12">
        <v>22</v>
      </c>
      <c r="H346" s="8">
        <v>174392</v>
      </c>
      <c r="I346" s="6" t="str" cm="1">
        <f t="array" ref="I346">_xlfn.IFS(C346&gt;50,"50+",C346&gt;=30,"30-50",C346&lt;30,"Under 30")</f>
        <v>30-50</v>
      </c>
      <c r="J346" s="6" t="str" cm="1">
        <f t="array" ref="J346">_xlfn.IFS(H346&gt;200000,"2 Lakhs +",H346&gt;=100000,"1-2 Lakhs",H346&lt;100000,"Below 1 Lakhs")</f>
        <v>1-2 Lakhs</v>
      </c>
    </row>
    <row r="347" spans="1:10" x14ac:dyDescent="0.25">
      <c r="A347" s="12">
        <v>346</v>
      </c>
      <c r="B347" s="6">
        <v>9023</v>
      </c>
      <c r="C347" s="12">
        <v>44</v>
      </c>
      <c r="D347" s="6" t="s">
        <v>10</v>
      </c>
      <c r="E347" s="6" t="s">
        <v>317</v>
      </c>
      <c r="F347" s="10">
        <v>36328</v>
      </c>
      <c r="G347" s="12">
        <v>21</v>
      </c>
      <c r="H347" s="8">
        <v>166153</v>
      </c>
      <c r="I347" s="6" t="str" cm="1">
        <f t="array" ref="I347">_xlfn.IFS(C347&gt;50,"50+",C347&gt;=30,"30-50",C347&lt;30,"Under 30")</f>
        <v>30-50</v>
      </c>
      <c r="J347" s="6" t="str" cm="1">
        <f t="array" ref="J347">_xlfn.IFS(H347&gt;200000,"2 Lakhs +",H347&gt;=100000,"1-2 Lakhs",H347&lt;100000,"Below 1 Lakhs")</f>
        <v>1-2 Lakhs</v>
      </c>
    </row>
    <row r="348" spans="1:10" x14ac:dyDescent="0.25">
      <c r="A348" s="12">
        <v>347</v>
      </c>
      <c r="B348" s="6">
        <v>9431</v>
      </c>
      <c r="C348" s="12">
        <v>22</v>
      </c>
      <c r="D348" s="6" t="s">
        <v>17</v>
      </c>
      <c r="E348" s="6" t="s">
        <v>316</v>
      </c>
      <c r="F348" s="10">
        <v>30773</v>
      </c>
      <c r="G348" s="12">
        <v>14</v>
      </c>
      <c r="H348" s="8">
        <v>116114</v>
      </c>
      <c r="I348" s="6" t="str" cm="1">
        <f t="array" ref="I348">_xlfn.IFS(C348&gt;50,"50+",C348&gt;=30,"30-50",C348&lt;30,"Under 30")</f>
        <v>Under 30</v>
      </c>
      <c r="J348" s="6" t="str" cm="1">
        <f t="array" ref="J348">_xlfn.IFS(H348&gt;200000,"2 Lakhs +",H348&gt;=100000,"1-2 Lakhs",H348&lt;100000,"Below 1 Lakhs")</f>
        <v>1-2 Lakhs</v>
      </c>
    </row>
    <row r="349" spans="1:10" x14ac:dyDescent="0.25">
      <c r="A349" s="12">
        <v>348</v>
      </c>
      <c r="B349" s="6">
        <v>1279</v>
      </c>
      <c r="C349" s="12">
        <v>54</v>
      </c>
      <c r="D349" s="6" t="s">
        <v>10</v>
      </c>
      <c r="E349" s="6" t="s">
        <v>316</v>
      </c>
      <c r="F349" s="10">
        <v>29702</v>
      </c>
      <c r="G349" s="12">
        <v>26</v>
      </c>
      <c r="H349" s="8">
        <v>215298</v>
      </c>
      <c r="I349" s="6" t="str" cm="1">
        <f t="array" ref="I349">_xlfn.IFS(C349&gt;50,"50+",C349&gt;=30,"30-50",C349&lt;30,"Under 30")</f>
        <v>50+</v>
      </c>
      <c r="J349" s="6" t="str" cm="1">
        <f t="array" ref="J349">_xlfn.IFS(H349&gt;200000,"2 Lakhs +",H349&gt;=100000,"1-2 Lakhs",H349&lt;100000,"Below 1 Lakhs")</f>
        <v>2 Lakhs +</v>
      </c>
    </row>
    <row r="350" spans="1:10" x14ac:dyDescent="0.25">
      <c r="A350" s="12">
        <v>349</v>
      </c>
      <c r="B350" s="6">
        <v>5865</v>
      </c>
      <c r="C350" s="12">
        <v>44</v>
      </c>
      <c r="D350" s="6" t="s">
        <v>10</v>
      </c>
      <c r="E350" s="6" t="s">
        <v>316</v>
      </c>
      <c r="F350" s="10">
        <v>44517</v>
      </c>
      <c r="G350" s="12">
        <v>20</v>
      </c>
      <c r="H350" s="8">
        <v>161836</v>
      </c>
      <c r="I350" s="6" t="str" cm="1">
        <f t="array" ref="I350">_xlfn.IFS(C350&gt;50,"50+",C350&gt;=30,"30-50",C350&lt;30,"Under 30")</f>
        <v>30-50</v>
      </c>
      <c r="J350" s="6" t="str" cm="1">
        <f t="array" ref="J350">_xlfn.IFS(H350&gt;200000,"2 Lakhs +",H350&gt;=100000,"1-2 Lakhs",H350&lt;100000,"Below 1 Lakhs")</f>
        <v>1-2 Lakhs</v>
      </c>
    </row>
    <row r="351" spans="1:10" x14ac:dyDescent="0.25">
      <c r="A351" s="12">
        <v>350</v>
      </c>
      <c r="B351" s="6">
        <v>8816</v>
      </c>
      <c r="C351" s="12">
        <v>43</v>
      </c>
      <c r="D351" s="6" t="s">
        <v>17</v>
      </c>
      <c r="E351" s="6" t="s">
        <v>317</v>
      </c>
      <c r="F351" s="10">
        <v>35134</v>
      </c>
      <c r="G351" s="12">
        <v>21</v>
      </c>
      <c r="H351" s="8">
        <v>156464</v>
      </c>
      <c r="I351" s="6" t="str" cm="1">
        <f t="array" ref="I351">_xlfn.IFS(C351&gt;50,"50+",C351&gt;=30,"30-50",C351&lt;30,"Under 30")</f>
        <v>30-50</v>
      </c>
      <c r="J351" s="6" t="str" cm="1">
        <f t="array" ref="J351">_xlfn.IFS(H351&gt;200000,"2 Lakhs +",H351&gt;=100000,"1-2 Lakhs",H351&lt;100000,"Below 1 Lakhs")</f>
        <v>1-2 Lakhs</v>
      </c>
    </row>
    <row r="352" spans="1:10" x14ac:dyDescent="0.25">
      <c r="A352" s="12">
        <v>351</v>
      </c>
      <c r="B352" s="6">
        <v>7352</v>
      </c>
      <c r="C352" s="12">
        <v>51</v>
      </c>
      <c r="D352" s="6" t="s">
        <v>11</v>
      </c>
      <c r="E352" s="6" t="s">
        <v>317</v>
      </c>
      <c r="F352" s="10">
        <v>35140</v>
      </c>
      <c r="G352" s="12">
        <v>21</v>
      </c>
      <c r="H352" s="8">
        <v>161728</v>
      </c>
      <c r="I352" s="6" t="str" cm="1">
        <f t="array" ref="I352">_xlfn.IFS(C352&gt;50,"50+",C352&gt;=30,"30-50",C352&lt;30,"Under 30")</f>
        <v>50+</v>
      </c>
      <c r="J352" s="6" t="str" cm="1">
        <f t="array" ref="J352">_xlfn.IFS(H352&gt;200000,"2 Lakhs +",H352&gt;=100000,"1-2 Lakhs",H352&lt;100000,"Below 1 Lakhs")</f>
        <v>1-2 Lakhs</v>
      </c>
    </row>
    <row r="353" spans="1:10" x14ac:dyDescent="0.25">
      <c r="A353" s="12">
        <v>352</v>
      </c>
      <c r="B353" s="6">
        <v>8570</v>
      </c>
      <c r="C353" s="12">
        <v>26</v>
      </c>
      <c r="D353" s="6" t="s">
        <v>11</v>
      </c>
      <c r="E353" s="6" t="s">
        <v>317</v>
      </c>
      <c r="F353" s="10">
        <v>36214</v>
      </c>
      <c r="G353" s="12">
        <v>13</v>
      </c>
      <c r="H353" s="8">
        <v>108822</v>
      </c>
      <c r="I353" s="6" t="str" cm="1">
        <f t="array" ref="I353">_xlfn.IFS(C353&gt;50,"50+",C353&gt;=30,"30-50",C353&lt;30,"Under 30")</f>
        <v>Under 30</v>
      </c>
      <c r="J353" s="6" t="str" cm="1">
        <f t="array" ref="J353">_xlfn.IFS(H353&gt;200000,"2 Lakhs +",H353&gt;=100000,"1-2 Lakhs",H353&lt;100000,"Below 1 Lakhs")</f>
        <v>1-2 Lakhs</v>
      </c>
    </row>
    <row r="354" spans="1:10" x14ac:dyDescent="0.25">
      <c r="A354" s="12">
        <v>353</v>
      </c>
      <c r="B354" s="6">
        <v>7873</v>
      </c>
      <c r="C354" s="12">
        <v>62</v>
      </c>
      <c r="D354" s="6" t="s">
        <v>17</v>
      </c>
      <c r="E354" s="6" t="s">
        <v>317</v>
      </c>
      <c r="F354" s="10">
        <v>30672</v>
      </c>
      <c r="G354" s="12">
        <v>31</v>
      </c>
      <c r="H354" s="8">
        <v>242129</v>
      </c>
      <c r="I354" s="6" t="str" cm="1">
        <f t="array" ref="I354">_xlfn.IFS(C354&gt;50,"50+",C354&gt;=30,"30-50",C354&lt;30,"Under 30")</f>
        <v>50+</v>
      </c>
      <c r="J354" s="6" t="str" cm="1">
        <f t="array" ref="J354">_xlfn.IFS(H354&gt;200000,"2 Lakhs +",H354&gt;=100000,"1-2 Lakhs",H354&lt;100000,"Below 1 Lakhs")</f>
        <v>2 Lakhs +</v>
      </c>
    </row>
    <row r="355" spans="1:10" x14ac:dyDescent="0.25">
      <c r="A355" s="12">
        <v>354</v>
      </c>
      <c r="B355" s="6">
        <v>5037</v>
      </c>
      <c r="C355" s="12">
        <v>49</v>
      </c>
      <c r="D355" s="6" t="s">
        <v>17</v>
      </c>
      <c r="E355" s="6" t="s">
        <v>317</v>
      </c>
      <c r="F355" s="10">
        <v>38596</v>
      </c>
      <c r="G355" s="12">
        <v>25</v>
      </c>
      <c r="H355" s="8">
        <v>208439</v>
      </c>
      <c r="I355" s="6" t="str" cm="1">
        <f t="array" ref="I355">_xlfn.IFS(C355&gt;50,"50+",C355&gt;=30,"30-50",C355&lt;30,"Under 30")</f>
        <v>30-50</v>
      </c>
      <c r="J355" s="6" t="str" cm="1">
        <f t="array" ref="J355">_xlfn.IFS(H355&gt;200000,"2 Lakhs +",H355&gt;=100000,"1-2 Lakhs",H355&lt;100000,"Below 1 Lakhs")</f>
        <v>2 Lakhs +</v>
      </c>
    </row>
    <row r="356" spans="1:10" x14ac:dyDescent="0.25">
      <c r="A356" s="12">
        <v>355</v>
      </c>
      <c r="B356" s="6">
        <v>6812</v>
      </c>
      <c r="C356" s="12">
        <v>31</v>
      </c>
      <c r="D356" s="6" t="s">
        <v>11</v>
      </c>
      <c r="E356" s="6" t="s">
        <v>317</v>
      </c>
      <c r="F356" s="10">
        <v>26883</v>
      </c>
      <c r="G356" s="12">
        <v>16</v>
      </c>
      <c r="H356" s="8">
        <v>132859</v>
      </c>
      <c r="I356" s="6" t="str" cm="1">
        <f t="array" ref="I356">_xlfn.IFS(C356&gt;50,"50+",C356&gt;=30,"30-50",C356&lt;30,"Under 30")</f>
        <v>30-50</v>
      </c>
      <c r="J356" s="6" t="str" cm="1">
        <f t="array" ref="J356">_xlfn.IFS(H356&gt;200000,"2 Lakhs +",H356&gt;=100000,"1-2 Lakhs",H356&lt;100000,"Below 1 Lakhs")</f>
        <v>1-2 Lakhs</v>
      </c>
    </row>
    <row r="357" spans="1:10" x14ac:dyDescent="0.25">
      <c r="A357" s="12">
        <v>356</v>
      </c>
      <c r="B357" s="6">
        <v>6228</v>
      </c>
      <c r="C357" s="12">
        <v>48</v>
      </c>
      <c r="D357" s="6" t="s">
        <v>17</v>
      </c>
      <c r="E357" s="6" t="s">
        <v>316</v>
      </c>
      <c r="F357" s="10">
        <v>31508</v>
      </c>
      <c r="G357" s="12">
        <v>25</v>
      </c>
      <c r="H357" s="8">
        <v>197639</v>
      </c>
      <c r="I357" s="6" t="str" cm="1">
        <f t="array" ref="I357">_xlfn.IFS(C357&gt;50,"50+",C357&gt;=30,"30-50",C357&lt;30,"Under 30")</f>
        <v>30-50</v>
      </c>
      <c r="J357" s="6" t="str" cm="1">
        <f t="array" ref="J357">_xlfn.IFS(H357&gt;200000,"2 Lakhs +",H357&gt;=100000,"1-2 Lakhs",H357&lt;100000,"Below 1 Lakhs")</f>
        <v>1-2 Lakhs</v>
      </c>
    </row>
    <row r="358" spans="1:10" x14ac:dyDescent="0.25">
      <c r="A358" s="12">
        <v>357</v>
      </c>
      <c r="B358" s="6">
        <v>1541</v>
      </c>
      <c r="C358" s="12">
        <v>27</v>
      </c>
      <c r="D358" s="6" t="s">
        <v>17</v>
      </c>
      <c r="E358" s="6" t="s">
        <v>317</v>
      </c>
      <c r="F358" s="10">
        <v>31696</v>
      </c>
      <c r="G358" s="12">
        <v>11</v>
      </c>
      <c r="H358" s="8">
        <v>78632</v>
      </c>
      <c r="I358" s="6" t="str" cm="1">
        <f t="array" ref="I358">_xlfn.IFS(C358&gt;50,"50+",C358&gt;=30,"30-50",C358&lt;30,"Under 30")</f>
        <v>Under 30</v>
      </c>
      <c r="J358" s="6" t="str" cm="1">
        <f t="array" ref="J358">_xlfn.IFS(H358&gt;200000,"2 Lakhs +",H358&gt;=100000,"1-2 Lakhs",H358&lt;100000,"Below 1 Lakhs")</f>
        <v>Below 1 Lakhs</v>
      </c>
    </row>
    <row r="359" spans="1:10" x14ac:dyDescent="0.25">
      <c r="A359" s="12">
        <v>358</v>
      </c>
      <c r="B359" s="6">
        <v>4009</v>
      </c>
      <c r="C359" s="12">
        <v>23</v>
      </c>
      <c r="D359" s="6" t="s">
        <v>8</v>
      </c>
      <c r="E359" s="6" t="s">
        <v>317</v>
      </c>
      <c r="F359" s="10">
        <v>27712</v>
      </c>
      <c r="G359" s="12">
        <v>11</v>
      </c>
      <c r="H359" s="8">
        <v>80817</v>
      </c>
      <c r="I359" s="6" t="str" cm="1">
        <f t="array" ref="I359">_xlfn.IFS(C359&gt;50,"50+",C359&gt;=30,"30-50",C359&lt;30,"Under 30")</f>
        <v>Under 30</v>
      </c>
      <c r="J359" s="6" t="str" cm="1">
        <f t="array" ref="J359">_xlfn.IFS(H359&gt;200000,"2 Lakhs +",H359&gt;=100000,"1-2 Lakhs",H359&lt;100000,"Below 1 Lakhs")</f>
        <v>Below 1 Lakhs</v>
      </c>
    </row>
    <row r="360" spans="1:10" x14ac:dyDescent="0.25">
      <c r="A360" s="12">
        <v>359</v>
      </c>
      <c r="B360" s="6">
        <v>8185</v>
      </c>
      <c r="C360" s="12">
        <v>46</v>
      </c>
      <c r="D360" s="6" t="s">
        <v>17</v>
      </c>
      <c r="E360" s="6" t="s">
        <v>316</v>
      </c>
      <c r="F360" s="10">
        <v>35164</v>
      </c>
      <c r="G360" s="12">
        <v>20</v>
      </c>
      <c r="H360" s="8">
        <v>169224</v>
      </c>
      <c r="I360" s="6" t="str" cm="1">
        <f t="array" ref="I360">_xlfn.IFS(C360&gt;50,"50+",C360&gt;=30,"30-50",C360&lt;30,"Under 30")</f>
        <v>30-50</v>
      </c>
      <c r="J360" s="6" t="str" cm="1">
        <f t="array" ref="J360">_xlfn.IFS(H360&gt;200000,"2 Lakhs +",H360&gt;=100000,"1-2 Lakhs",H360&lt;100000,"Below 1 Lakhs")</f>
        <v>1-2 Lakhs</v>
      </c>
    </row>
    <row r="361" spans="1:10" x14ac:dyDescent="0.25">
      <c r="A361" s="12">
        <v>360</v>
      </c>
      <c r="B361" s="6">
        <v>8399</v>
      </c>
      <c r="C361" s="12">
        <v>24</v>
      </c>
      <c r="D361" s="6" t="s">
        <v>13</v>
      </c>
      <c r="E361" s="6" t="s">
        <v>317</v>
      </c>
      <c r="F361" s="10">
        <v>41150</v>
      </c>
      <c r="G361" s="12">
        <v>9</v>
      </c>
      <c r="H361" s="8">
        <v>69736</v>
      </c>
      <c r="I361" s="6" t="str" cm="1">
        <f t="array" ref="I361">_xlfn.IFS(C361&gt;50,"50+",C361&gt;=30,"30-50",C361&lt;30,"Under 30")</f>
        <v>Under 30</v>
      </c>
      <c r="J361" s="6" t="str" cm="1">
        <f t="array" ref="J361">_xlfn.IFS(H361&gt;200000,"2 Lakhs +",H361&gt;=100000,"1-2 Lakhs",H361&lt;100000,"Below 1 Lakhs")</f>
        <v>Below 1 Lakhs</v>
      </c>
    </row>
    <row r="362" spans="1:10" x14ac:dyDescent="0.25">
      <c r="A362" s="12">
        <v>361</v>
      </c>
      <c r="B362" s="6">
        <v>4196</v>
      </c>
      <c r="C362" s="12">
        <v>52</v>
      </c>
      <c r="D362" s="6" t="s">
        <v>11</v>
      </c>
      <c r="E362" s="6" t="s">
        <v>316</v>
      </c>
      <c r="F362" s="10">
        <v>41759</v>
      </c>
      <c r="G362" s="12">
        <v>22</v>
      </c>
      <c r="H362" s="8">
        <v>172041</v>
      </c>
      <c r="I362" s="6" t="str" cm="1">
        <f t="array" ref="I362">_xlfn.IFS(C362&gt;50,"50+",C362&gt;=30,"30-50",C362&lt;30,"Under 30")</f>
        <v>50+</v>
      </c>
      <c r="J362" s="6" t="str" cm="1">
        <f t="array" ref="J362">_xlfn.IFS(H362&gt;200000,"2 Lakhs +",H362&gt;=100000,"1-2 Lakhs",H362&lt;100000,"Below 1 Lakhs")</f>
        <v>1-2 Lakhs</v>
      </c>
    </row>
    <row r="363" spans="1:10" x14ac:dyDescent="0.25">
      <c r="A363" s="12">
        <v>362</v>
      </c>
      <c r="B363" s="6">
        <v>1944</v>
      </c>
      <c r="C363" s="12">
        <v>49</v>
      </c>
      <c r="D363" s="6" t="s">
        <v>10</v>
      </c>
      <c r="E363" s="6" t="s">
        <v>316</v>
      </c>
      <c r="F363" s="10">
        <v>40910</v>
      </c>
      <c r="G363" s="12">
        <v>22</v>
      </c>
      <c r="H363" s="8">
        <v>175269</v>
      </c>
      <c r="I363" s="6" t="str" cm="1">
        <f t="array" ref="I363">_xlfn.IFS(C363&gt;50,"50+",C363&gt;=30,"30-50",C363&lt;30,"Under 30")</f>
        <v>30-50</v>
      </c>
      <c r="J363" s="6" t="str" cm="1">
        <f t="array" ref="J363">_xlfn.IFS(H363&gt;200000,"2 Lakhs +",H363&gt;=100000,"1-2 Lakhs",H363&lt;100000,"Below 1 Lakhs")</f>
        <v>1-2 Lakhs</v>
      </c>
    </row>
    <row r="364" spans="1:10" x14ac:dyDescent="0.25">
      <c r="A364" s="12">
        <v>363</v>
      </c>
      <c r="B364" s="6">
        <v>4672</v>
      </c>
      <c r="C364" s="12">
        <v>27</v>
      </c>
      <c r="D364" s="6" t="s">
        <v>10</v>
      </c>
      <c r="E364" s="6" t="s">
        <v>316</v>
      </c>
      <c r="F364" s="10">
        <v>35247</v>
      </c>
      <c r="G364" s="12">
        <v>12</v>
      </c>
      <c r="H364" s="8">
        <v>96587</v>
      </c>
      <c r="I364" s="6" t="str" cm="1">
        <f t="array" ref="I364">_xlfn.IFS(C364&gt;50,"50+",C364&gt;=30,"30-50",C364&lt;30,"Under 30")</f>
        <v>Under 30</v>
      </c>
      <c r="J364" s="6" t="str" cm="1">
        <f t="array" ref="J364">_xlfn.IFS(H364&gt;200000,"2 Lakhs +",H364&gt;=100000,"1-2 Lakhs",H364&lt;100000,"Below 1 Lakhs")</f>
        <v>Below 1 Lakhs</v>
      </c>
    </row>
    <row r="365" spans="1:10" x14ac:dyDescent="0.25">
      <c r="A365" s="12">
        <v>364</v>
      </c>
      <c r="B365" s="6">
        <v>2424</v>
      </c>
      <c r="C365" s="12">
        <v>61</v>
      </c>
      <c r="D365" s="6" t="s">
        <v>8</v>
      </c>
      <c r="E365" s="6" t="s">
        <v>317</v>
      </c>
      <c r="F365" s="10">
        <v>42772</v>
      </c>
      <c r="G365" s="12">
        <v>28</v>
      </c>
      <c r="H365" s="8">
        <v>228121</v>
      </c>
      <c r="I365" s="6" t="str" cm="1">
        <f t="array" ref="I365">_xlfn.IFS(C365&gt;50,"50+",C365&gt;=30,"30-50",C365&lt;30,"Under 30")</f>
        <v>50+</v>
      </c>
      <c r="J365" s="6" t="str" cm="1">
        <f t="array" ref="J365">_xlfn.IFS(H365&gt;200000,"2 Lakhs +",H365&gt;=100000,"1-2 Lakhs",H365&lt;100000,"Below 1 Lakhs")</f>
        <v>2 Lakhs +</v>
      </c>
    </row>
    <row r="366" spans="1:10" x14ac:dyDescent="0.25">
      <c r="A366" s="12">
        <v>365</v>
      </c>
      <c r="B366" s="6">
        <v>3389</v>
      </c>
      <c r="C366" s="12">
        <v>57</v>
      </c>
      <c r="D366" s="6" t="s">
        <v>11</v>
      </c>
      <c r="E366" s="6" t="s">
        <v>316</v>
      </c>
      <c r="F366" s="10">
        <v>36031</v>
      </c>
      <c r="G366" s="12">
        <v>28</v>
      </c>
      <c r="H366" s="8">
        <v>219082</v>
      </c>
      <c r="I366" s="6" t="str" cm="1">
        <f t="array" ref="I366">_xlfn.IFS(C366&gt;50,"50+",C366&gt;=30,"30-50",C366&lt;30,"Under 30")</f>
        <v>50+</v>
      </c>
      <c r="J366" s="6" t="str" cm="1">
        <f t="array" ref="J366">_xlfn.IFS(H366&gt;200000,"2 Lakhs +",H366&gt;=100000,"1-2 Lakhs",H366&lt;100000,"Below 1 Lakhs")</f>
        <v>2 Lakhs +</v>
      </c>
    </row>
    <row r="367" spans="1:10" x14ac:dyDescent="0.25">
      <c r="A367" s="12">
        <v>366</v>
      </c>
      <c r="B367" s="6">
        <v>9010</v>
      </c>
      <c r="C367" s="12">
        <v>30</v>
      </c>
      <c r="D367" s="6" t="s">
        <v>10</v>
      </c>
      <c r="E367" s="6" t="s">
        <v>317</v>
      </c>
      <c r="F367" s="10">
        <v>26389</v>
      </c>
      <c r="G367" s="12">
        <v>14</v>
      </c>
      <c r="H367" s="8">
        <v>112660</v>
      </c>
      <c r="I367" s="6" t="str" cm="1">
        <f t="array" ref="I367">_xlfn.IFS(C367&gt;50,"50+",C367&gt;=30,"30-50",C367&lt;30,"Under 30")</f>
        <v>30-50</v>
      </c>
      <c r="J367" s="6" t="str" cm="1">
        <f t="array" ref="J367">_xlfn.IFS(H367&gt;200000,"2 Lakhs +",H367&gt;=100000,"1-2 Lakhs",H367&lt;100000,"Below 1 Lakhs")</f>
        <v>1-2 Lakhs</v>
      </c>
    </row>
    <row r="368" spans="1:10" x14ac:dyDescent="0.25">
      <c r="A368" s="12">
        <v>367</v>
      </c>
      <c r="B368" s="6">
        <v>7713</v>
      </c>
      <c r="C368" s="12">
        <v>50</v>
      </c>
      <c r="D368" s="6" t="s">
        <v>10</v>
      </c>
      <c r="E368" s="6" t="s">
        <v>317</v>
      </c>
      <c r="F368" s="10">
        <v>33906</v>
      </c>
      <c r="G368" s="12">
        <v>24</v>
      </c>
      <c r="H368" s="8">
        <v>192120</v>
      </c>
      <c r="I368" s="6" t="str" cm="1">
        <f t="array" ref="I368">_xlfn.IFS(C368&gt;50,"50+",C368&gt;=30,"30-50",C368&lt;30,"Under 30")</f>
        <v>30-50</v>
      </c>
      <c r="J368" s="6" t="str" cm="1">
        <f t="array" ref="J368">_xlfn.IFS(H368&gt;200000,"2 Lakhs +",H368&gt;=100000,"1-2 Lakhs",H368&lt;100000,"Below 1 Lakhs")</f>
        <v>1-2 Lakhs</v>
      </c>
    </row>
    <row r="369" spans="1:10" x14ac:dyDescent="0.25">
      <c r="A369" s="12">
        <v>368</v>
      </c>
      <c r="B369" s="6">
        <v>4303</v>
      </c>
      <c r="C369" s="12">
        <v>35</v>
      </c>
      <c r="D369" s="6" t="s">
        <v>8</v>
      </c>
      <c r="E369" s="6" t="s">
        <v>316</v>
      </c>
      <c r="F369" s="10">
        <v>43071</v>
      </c>
      <c r="G369" s="12">
        <v>17</v>
      </c>
      <c r="H369" s="8">
        <v>138446</v>
      </c>
      <c r="I369" s="6" t="str" cm="1">
        <f t="array" ref="I369">_xlfn.IFS(C369&gt;50,"50+",C369&gt;=30,"30-50",C369&lt;30,"Under 30")</f>
        <v>30-50</v>
      </c>
      <c r="J369" s="6" t="str" cm="1">
        <f t="array" ref="J369">_xlfn.IFS(H369&gt;200000,"2 Lakhs +",H369&gt;=100000,"1-2 Lakhs",H369&lt;100000,"Below 1 Lakhs")</f>
        <v>1-2 Lakhs</v>
      </c>
    </row>
    <row r="370" spans="1:10" x14ac:dyDescent="0.25">
      <c r="A370" s="12">
        <v>369</v>
      </c>
      <c r="B370" s="6">
        <v>7683</v>
      </c>
      <c r="C370" s="12">
        <v>62</v>
      </c>
      <c r="D370" s="6" t="s">
        <v>11</v>
      </c>
      <c r="E370" s="6" t="s">
        <v>317</v>
      </c>
      <c r="F370" s="10">
        <v>42932</v>
      </c>
      <c r="G370" s="12">
        <v>31</v>
      </c>
      <c r="H370" s="8">
        <v>248320</v>
      </c>
      <c r="I370" s="6" t="str" cm="1">
        <f t="array" ref="I370">_xlfn.IFS(C370&gt;50,"50+",C370&gt;=30,"30-50",C370&lt;30,"Under 30")</f>
        <v>50+</v>
      </c>
      <c r="J370" s="6" t="str" cm="1">
        <f t="array" ref="J370">_xlfn.IFS(H370&gt;200000,"2 Lakhs +",H370&gt;=100000,"1-2 Lakhs",H370&lt;100000,"Below 1 Lakhs")</f>
        <v>2 Lakhs +</v>
      </c>
    </row>
    <row r="371" spans="1:10" x14ac:dyDescent="0.25">
      <c r="A371" s="12">
        <v>370</v>
      </c>
      <c r="B371" s="6">
        <v>7362</v>
      </c>
      <c r="C371" s="12">
        <v>49</v>
      </c>
      <c r="D371" s="6" t="s">
        <v>11</v>
      </c>
      <c r="E371" s="6" t="s">
        <v>316</v>
      </c>
      <c r="F371" s="10">
        <v>40421</v>
      </c>
      <c r="G371" s="12">
        <v>20</v>
      </c>
      <c r="H371" s="8">
        <v>156711</v>
      </c>
      <c r="I371" s="6" t="str" cm="1">
        <f t="array" ref="I371">_xlfn.IFS(C371&gt;50,"50+",C371&gt;=30,"30-50",C371&lt;30,"Under 30")</f>
        <v>30-50</v>
      </c>
      <c r="J371" s="6" t="str" cm="1">
        <f t="array" ref="J371">_xlfn.IFS(H371&gt;200000,"2 Lakhs +",H371&gt;=100000,"1-2 Lakhs",H371&lt;100000,"Below 1 Lakhs")</f>
        <v>1-2 Lakhs</v>
      </c>
    </row>
    <row r="372" spans="1:10" x14ac:dyDescent="0.25">
      <c r="A372" s="12">
        <v>371</v>
      </c>
      <c r="B372" s="6">
        <v>1718</v>
      </c>
      <c r="C372" s="12">
        <v>49</v>
      </c>
      <c r="D372" s="6" t="s">
        <v>17</v>
      </c>
      <c r="E372" s="6" t="s">
        <v>317</v>
      </c>
      <c r="F372" s="10">
        <v>43379</v>
      </c>
      <c r="G372" s="12">
        <v>28</v>
      </c>
      <c r="H372" s="8">
        <v>226499</v>
      </c>
      <c r="I372" s="6" t="str" cm="1">
        <f t="array" ref="I372">_xlfn.IFS(C372&gt;50,"50+",C372&gt;=30,"30-50",C372&lt;30,"Under 30")</f>
        <v>30-50</v>
      </c>
      <c r="J372" s="6" t="str" cm="1">
        <f t="array" ref="J372">_xlfn.IFS(H372&gt;200000,"2 Lakhs +",H372&gt;=100000,"1-2 Lakhs",H372&lt;100000,"Below 1 Lakhs")</f>
        <v>2 Lakhs +</v>
      </c>
    </row>
    <row r="373" spans="1:10" x14ac:dyDescent="0.25">
      <c r="A373" s="12">
        <v>372</v>
      </c>
      <c r="B373" s="6">
        <v>6548</v>
      </c>
      <c r="C373" s="12">
        <v>57</v>
      </c>
      <c r="D373" s="6" t="s">
        <v>17</v>
      </c>
      <c r="E373" s="6" t="s">
        <v>316</v>
      </c>
      <c r="F373" s="10">
        <v>38718</v>
      </c>
      <c r="G373" s="12">
        <v>27</v>
      </c>
      <c r="H373" s="8">
        <v>207647</v>
      </c>
      <c r="I373" s="6" t="str" cm="1">
        <f t="array" ref="I373">_xlfn.IFS(C373&gt;50,"50+",C373&gt;=30,"30-50",C373&lt;30,"Under 30")</f>
        <v>50+</v>
      </c>
      <c r="J373" s="6" t="str" cm="1">
        <f t="array" ref="J373">_xlfn.IFS(H373&gt;200000,"2 Lakhs +",H373&gt;=100000,"1-2 Lakhs",H373&lt;100000,"Below 1 Lakhs")</f>
        <v>2 Lakhs +</v>
      </c>
    </row>
    <row r="374" spans="1:10" x14ac:dyDescent="0.25">
      <c r="A374" s="12">
        <v>373</v>
      </c>
      <c r="B374" s="6">
        <v>6273</v>
      </c>
      <c r="C374" s="12">
        <v>37</v>
      </c>
      <c r="D374" s="6" t="s">
        <v>13</v>
      </c>
      <c r="E374" s="6" t="s">
        <v>316</v>
      </c>
      <c r="F374" s="10">
        <v>34394</v>
      </c>
      <c r="G374" s="12">
        <v>19</v>
      </c>
      <c r="H374" s="8">
        <v>150282</v>
      </c>
      <c r="I374" s="6" t="str" cm="1">
        <f t="array" ref="I374">_xlfn.IFS(C374&gt;50,"50+",C374&gt;=30,"30-50",C374&lt;30,"Under 30")</f>
        <v>30-50</v>
      </c>
      <c r="J374" s="6" t="str" cm="1">
        <f t="array" ref="J374">_xlfn.IFS(H374&gt;200000,"2 Lakhs +",H374&gt;=100000,"1-2 Lakhs",H374&lt;100000,"Below 1 Lakhs")</f>
        <v>1-2 Lakhs</v>
      </c>
    </row>
    <row r="375" spans="1:10" x14ac:dyDescent="0.25">
      <c r="A375" s="12">
        <v>374</v>
      </c>
      <c r="B375" s="6">
        <v>5076</v>
      </c>
      <c r="C375" s="12">
        <v>63</v>
      </c>
      <c r="D375" s="6" t="s">
        <v>11</v>
      </c>
      <c r="E375" s="6" t="s">
        <v>317</v>
      </c>
      <c r="F375" s="10">
        <v>32411</v>
      </c>
      <c r="G375" s="12">
        <v>36</v>
      </c>
      <c r="H375" s="8">
        <v>293410</v>
      </c>
      <c r="I375" s="6" t="str" cm="1">
        <f t="array" ref="I375">_xlfn.IFS(C375&gt;50,"50+",C375&gt;=30,"30-50",C375&lt;30,"Under 30")</f>
        <v>50+</v>
      </c>
      <c r="J375" s="6" t="str" cm="1">
        <f t="array" ref="J375">_xlfn.IFS(H375&gt;200000,"2 Lakhs +",H375&gt;=100000,"1-2 Lakhs",H375&lt;100000,"Below 1 Lakhs")</f>
        <v>2 Lakhs +</v>
      </c>
    </row>
    <row r="376" spans="1:10" x14ac:dyDescent="0.25">
      <c r="A376" s="12">
        <v>375</v>
      </c>
      <c r="B376" s="6">
        <v>6914</v>
      </c>
      <c r="C376" s="12">
        <v>23</v>
      </c>
      <c r="D376" s="6" t="s">
        <v>10</v>
      </c>
      <c r="E376" s="6" t="s">
        <v>316</v>
      </c>
      <c r="F376" s="10">
        <v>40244</v>
      </c>
      <c r="G376" s="12">
        <v>9</v>
      </c>
      <c r="H376" s="8">
        <v>66124</v>
      </c>
      <c r="I376" s="6" t="str" cm="1">
        <f t="array" ref="I376">_xlfn.IFS(C376&gt;50,"50+",C376&gt;=30,"30-50",C376&lt;30,"Under 30")</f>
        <v>Under 30</v>
      </c>
      <c r="J376" s="6" t="str" cm="1">
        <f t="array" ref="J376">_xlfn.IFS(H376&gt;200000,"2 Lakhs +",H376&gt;=100000,"1-2 Lakhs",H376&lt;100000,"Below 1 Lakhs")</f>
        <v>Below 1 Lakhs</v>
      </c>
    </row>
    <row r="377" spans="1:10" x14ac:dyDescent="0.25">
      <c r="A377" s="12">
        <v>376</v>
      </c>
      <c r="B377" s="6">
        <v>1068</v>
      </c>
      <c r="C377" s="12">
        <v>47</v>
      </c>
      <c r="D377" s="6" t="s">
        <v>17</v>
      </c>
      <c r="E377" s="6" t="s">
        <v>316</v>
      </c>
      <c r="F377" s="10">
        <v>32780</v>
      </c>
      <c r="G377" s="12">
        <v>20</v>
      </c>
      <c r="H377" s="8">
        <v>162792</v>
      </c>
      <c r="I377" s="6" t="str" cm="1">
        <f t="array" ref="I377">_xlfn.IFS(C377&gt;50,"50+",C377&gt;=30,"30-50",C377&lt;30,"Under 30")</f>
        <v>30-50</v>
      </c>
      <c r="J377" s="6" t="str" cm="1">
        <f t="array" ref="J377">_xlfn.IFS(H377&gt;200000,"2 Lakhs +",H377&gt;=100000,"1-2 Lakhs",H377&lt;100000,"Below 1 Lakhs")</f>
        <v>1-2 Lakhs</v>
      </c>
    </row>
    <row r="378" spans="1:10" x14ac:dyDescent="0.25">
      <c r="A378" s="12">
        <v>377</v>
      </c>
      <c r="B378" s="6">
        <v>1539</v>
      </c>
      <c r="C378" s="12">
        <v>42</v>
      </c>
      <c r="D378" s="6" t="s">
        <v>8</v>
      </c>
      <c r="E378" s="6" t="s">
        <v>317</v>
      </c>
      <c r="F378" s="10">
        <v>35990</v>
      </c>
      <c r="G378" s="12">
        <v>22</v>
      </c>
      <c r="H378" s="8">
        <v>169701</v>
      </c>
      <c r="I378" s="6" t="str" cm="1">
        <f t="array" ref="I378">_xlfn.IFS(C378&gt;50,"50+",C378&gt;=30,"30-50",C378&lt;30,"Under 30")</f>
        <v>30-50</v>
      </c>
      <c r="J378" s="6" t="str" cm="1">
        <f t="array" ref="J378">_xlfn.IFS(H378&gt;200000,"2 Lakhs +",H378&gt;=100000,"1-2 Lakhs",H378&lt;100000,"Below 1 Lakhs")</f>
        <v>1-2 Lakhs</v>
      </c>
    </row>
    <row r="379" spans="1:10" x14ac:dyDescent="0.25">
      <c r="A379" s="12">
        <v>378</v>
      </c>
      <c r="B379" s="6">
        <v>2565</v>
      </c>
      <c r="C379" s="12">
        <v>26</v>
      </c>
      <c r="D379" s="6" t="s">
        <v>8</v>
      </c>
      <c r="E379" s="6" t="s">
        <v>316</v>
      </c>
      <c r="F379" s="10">
        <v>34864</v>
      </c>
      <c r="G379" s="12">
        <v>12</v>
      </c>
      <c r="H379" s="8">
        <v>89021</v>
      </c>
      <c r="I379" s="6" t="str" cm="1">
        <f t="array" ref="I379">_xlfn.IFS(C379&gt;50,"50+",C379&gt;=30,"30-50",C379&lt;30,"Under 30")</f>
        <v>Under 30</v>
      </c>
      <c r="J379" s="6" t="str" cm="1">
        <f t="array" ref="J379">_xlfn.IFS(H379&gt;200000,"2 Lakhs +",H379&gt;=100000,"1-2 Lakhs",H379&lt;100000,"Below 1 Lakhs")</f>
        <v>Below 1 Lakhs</v>
      </c>
    </row>
    <row r="380" spans="1:10" x14ac:dyDescent="0.25">
      <c r="A380" s="12">
        <v>379</v>
      </c>
      <c r="B380" s="6">
        <v>7334</v>
      </c>
      <c r="C380" s="12">
        <v>63</v>
      </c>
      <c r="D380" s="6" t="s">
        <v>17</v>
      </c>
      <c r="E380" s="6" t="s">
        <v>317</v>
      </c>
      <c r="F380" s="10">
        <v>27914</v>
      </c>
      <c r="G380" s="12">
        <v>31</v>
      </c>
      <c r="H380" s="8">
        <v>253048</v>
      </c>
      <c r="I380" s="6" t="str" cm="1">
        <f t="array" ref="I380">_xlfn.IFS(C380&gt;50,"50+",C380&gt;=30,"30-50",C380&lt;30,"Under 30")</f>
        <v>50+</v>
      </c>
      <c r="J380" s="6" t="str" cm="1">
        <f t="array" ref="J380">_xlfn.IFS(H380&gt;200000,"2 Lakhs +",H380&gt;=100000,"1-2 Lakhs",H380&lt;100000,"Below 1 Lakhs")</f>
        <v>2 Lakhs +</v>
      </c>
    </row>
    <row r="381" spans="1:10" x14ac:dyDescent="0.25">
      <c r="A381" s="12">
        <v>380</v>
      </c>
      <c r="B381" s="6">
        <v>2974</v>
      </c>
      <c r="C381" s="12">
        <v>22</v>
      </c>
      <c r="D381" s="6" t="s">
        <v>10</v>
      </c>
      <c r="E381" s="6" t="s">
        <v>316</v>
      </c>
      <c r="F381" s="10">
        <v>44011</v>
      </c>
      <c r="G381" s="12">
        <v>7</v>
      </c>
      <c r="H381" s="8">
        <v>43177</v>
      </c>
      <c r="I381" s="6" t="str" cm="1">
        <f t="array" ref="I381">_xlfn.IFS(C381&gt;50,"50+",C381&gt;=30,"30-50",C381&lt;30,"Under 30")</f>
        <v>Under 30</v>
      </c>
      <c r="J381" s="6" t="str" cm="1">
        <f t="array" ref="J381">_xlfn.IFS(H381&gt;200000,"2 Lakhs +",H381&gt;=100000,"1-2 Lakhs",H381&lt;100000,"Below 1 Lakhs")</f>
        <v>Below 1 Lakhs</v>
      </c>
    </row>
    <row r="382" spans="1:10" x14ac:dyDescent="0.25">
      <c r="A382" s="12">
        <v>381</v>
      </c>
      <c r="B382" s="6">
        <v>2346</v>
      </c>
      <c r="C382" s="12">
        <v>36</v>
      </c>
      <c r="D382" s="6" t="s">
        <v>17</v>
      </c>
      <c r="E382" s="6" t="s">
        <v>316</v>
      </c>
      <c r="F382" s="10">
        <v>45666</v>
      </c>
      <c r="G382" s="12">
        <v>13</v>
      </c>
      <c r="H382" s="8">
        <v>103682</v>
      </c>
      <c r="I382" s="6" t="str" cm="1">
        <f t="array" ref="I382">_xlfn.IFS(C382&gt;50,"50+",C382&gt;=30,"30-50",C382&lt;30,"Under 30")</f>
        <v>30-50</v>
      </c>
      <c r="J382" s="6" t="str" cm="1">
        <f t="array" ref="J382">_xlfn.IFS(H382&gt;200000,"2 Lakhs +",H382&gt;=100000,"1-2 Lakhs",H382&lt;100000,"Below 1 Lakhs")</f>
        <v>1-2 Lakhs</v>
      </c>
    </row>
    <row r="383" spans="1:10" x14ac:dyDescent="0.25">
      <c r="A383" s="12">
        <v>382</v>
      </c>
      <c r="B383" s="6">
        <v>2800</v>
      </c>
      <c r="C383" s="12">
        <v>30</v>
      </c>
      <c r="D383" s="6" t="s">
        <v>17</v>
      </c>
      <c r="E383" s="6" t="s">
        <v>316</v>
      </c>
      <c r="F383" s="10">
        <v>37749</v>
      </c>
      <c r="G383" s="12">
        <v>16</v>
      </c>
      <c r="H383" s="8">
        <v>129947</v>
      </c>
      <c r="I383" s="6" t="str" cm="1">
        <f t="array" ref="I383">_xlfn.IFS(C383&gt;50,"50+",C383&gt;=30,"30-50",C383&lt;30,"Under 30")</f>
        <v>30-50</v>
      </c>
      <c r="J383" s="6" t="str" cm="1">
        <f t="array" ref="J383">_xlfn.IFS(H383&gt;200000,"2 Lakhs +",H383&gt;=100000,"1-2 Lakhs",H383&lt;100000,"Below 1 Lakhs")</f>
        <v>1-2 Lakhs</v>
      </c>
    </row>
    <row r="384" spans="1:10" x14ac:dyDescent="0.25">
      <c r="A384" s="12">
        <v>383</v>
      </c>
      <c r="B384" s="6">
        <v>4437</v>
      </c>
      <c r="C384" s="12">
        <v>62</v>
      </c>
      <c r="D384" s="6" t="s">
        <v>8</v>
      </c>
      <c r="E384" s="6" t="s">
        <v>317</v>
      </c>
      <c r="F384" s="10">
        <v>36931</v>
      </c>
      <c r="G384" s="12">
        <v>29</v>
      </c>
      <c r="H384" s="8">
        <v>227252</v>
      </c>
      <c r="I384" s="6" t="str" cm="1">
        <f t="array" ref="I384">_xlfn.IFS(C384&gt;50,"50+",C384&gt;=30,"30-50",C384&lt;30,"Under 30")</f>
        <v>50+</v>
      </c>
      <c r="J384" s="6" t="str" cm="1">
        <f t="array" ref="J384">_xlfn.IFS(H384&gt;200000,"2 Lakhs +",H384&gt;=100000,"1-2 Lakhs",H384&lt;100000,"Below 1 Lakhs")</f>
        <v>2 Lakhs +</v>
      </c>
    </row>
    <row r="385" spans="1:10" x14ac:dyDescent="0.25">
      <c r="A385" s="12">
        <v>384</v>
      </c>
      <c r="B385" s="6">
        <v>6007</v>
      </c>
      <c r="C385" s="12">
        <v>32</v>
      </c>
      <c r="D385" s="6" t="s">
        <v>10</v>
      </c>
      <c r="E385" s="6" t="s">
        <v>316</v>
      </c>
      <c r="F385" s="10">
        <v>33037</v>
      </c>
      <c r="G385" s="12">
        <v>15</v>
      </c>
      <c r="H385" s="8">
        <v>127305</v>
      </c>
      <c r="I385" s="6" t="str" cm="1">
        <f t="array" ref="I385">_xlfn.IFS(C385&gt;50,"50+",C385&gt;=30,"30-50",C385&lt;30,"Under 30")</f>
        <v>30-50</v>
      </c>
      <c r="J385" s="6" t="str" cm="1">
        <f t="array" ref="J385">_xlfn.IFS(H385&gt;200000,"2 Lakhs +",H385&gt;=100000,"1-2 Lakhs",H385&lt;100000,"Below 1 Lakhs")</f>
        <v>1-2 Lakhs</v>
      </c>
    </row>
    <row r="386" spans="1:10" x14ac:dyDescent="0.25">
      <c r="A386" s="12">
        <v>385</v>
      </c>
      <c r="B386" s="6">
        <v>2510</v>
      </c>
      <c r="C386" s="12">
        <v>51</v>
      </c>
      <c r="D386" s="6" t="s">
        <v>13</v>
      </c>
      <c r="E386" s="6" t="s">
        <v>317</v>
      </c>
      <c r="F386" s="10">
        <v>41261</v>
      </c>
      <c r="G386" s="12">
        <v>24</v>
      </c>
      <c r="H386" s="8">
        <v>184578</v>
      </c>
      <c r="I386" s="6" t="str" cm="1">
        <f t="array" ref="I386">_xlfn.IFS(C386&gt;50,"50+",C386&gt;=30,"30-50",C386&lt;30,"Under 30")</f>
        <v>50+</v>
      </c>
      <c r="J386" s="6" t="str" cm="1">
        <f t="array" ref="J386">_xlfn.IFS(H386&gt;200000,"2 Lakhs +",H386&gt;=100000,"1-2 Lakhs",H386&lt;100000,"Below 1 Lakhs")</f>
        <v>1-2 Lakhs</v>
      </c>
    </row>
    <row r="387" spans="1:10" x14ac:dyDescent="0.25">
      <c r="A387" s="12">
        <v>386</v>
      </c>
      <c r="B387" s="6">
        <v>7197</v>
      </c>
      <c r="C387" s="12">
        <v>45</v>
      </c>
      <c r="D387" s="6" t="s">
        <v>17</v>
      </c>
      <c r="E387" s="6" t="s">
        <v>316</v>
      </c>
      <c r="F387" s="10">
        <v>28672</v>
      </c>
      <c r="G387" s="12">
        <v>23</v>
      </c>
      <c r="H387" s="8">
        <v>189031</v>
      </c>
      <c r="I387" s="6" t="str" cm="1">
        <f t="array" ref="I387">_xlfn.IFS(C387&gt;50,"50+",C387&gt;=30,"30-50",C387&lt;30,"Under 30")</f>
        <v>30-50</v>
      </c>
      <c r="J387" s="6" t="str" cm="1">
        <f t="array" ref="J387">_xlfn.IFS(H387&gt;200000,"2 Lakhs +",H387&gt;=100000,"1-2 Lakhs",H387&lt;100000,"Below 1 Lakhs")</f>
        <v>1-2 Lakhs</v>
      </c>
    </row>
    <row r="388" spans="1:10" x14ac:dyDescent="0.25">
      <c r="A388" s="12">
        <v>387</v>
      </c>
      <c r="B388" s="6">
        <v>5262</v>
      </c>
      <c r="C388" s="12">
        <v>61</v>
      </c>
      <c r="D388" s="6" t="s">
        <v>11</v>
      </c>
      <c r="E388" s="6" t="s">
        <v>316</v>
      </c>
      <c r="F388" s="10">
        <v>43973</v>
      </c>
      <c r="G388" s="12">
        <v>30</v>
      </c>
      <c r="H388" s="8">
        <v>242312</v>
      </c>
      <c r="I388" s="6" t="str" cm="1">
        <f t="array" ref="I388">_xlfn.IFS(C388&gt;50,"50+",C388&gt;=30,"30-50",C388&lt;30,"Under 30")</f>
        <v>50+</v>
      </c>
      <c r="J388" s="6" t="str" cm="1">
        <f t="array" ref="J388">_xlfn.IFS(H388&gt;200000,"2 Lakhs +",H388&gt;=100000,"1-2 Lakhs",H388&lt;100000,"Below 1 Lakhs")</f>
        <v>2 Lakhs +</v>
      </c>
    </row>
    <row r="389" spans="1:10" x14ac:dyDescent="0.25">
      <c r="A389" s="12">
        <v>388</v>
      </c>
      <c r="B389" s="6">
        <v>4315</v>
      </c>
      <c r="C389" s="12">
        <v>47</v>
      </c>
      <c r="D389" s="6" t="s">
        <v>10</v>
      </c>
      <c r="E389" s="6" t="s">
        <v>316</v>
      </c>
      <c r="F389" s="10">
        <v>36673</v>
      </c>
      <c r="G389" s="12">
        <v>24</v>
      </c>
      <c r="H389" s="8">
        <v>199412</v>
      </c>
      <c r="I389" s="6" t="str" cm="1">
        <f t="array" ref="I389">_xlfn.IFS(C389&gt;50,"50+",C389&gt;=30,"30-50",C389&lt;30,"Under 30")</f>
        <v>30-50</v>
      </c>
      <c r="J389" s="6" t="str" cm="1">
        <f t="array" ref="J389">_xlfn.IFS(H389&gt;200000,"2 Lakhs +",H389&gt;=100000,"1-2 Lakhs",H389&lt;100000,"Below 1 Lakhs")</f>
        <v>1-2 Lakhs</v>
      </c>
    </row>
    <row r="390" spans="1:10" x14ac:dyDescent="0.25">
      <c r="A390" s="12">
        <v>389</v>
      </c>
      <c r="B390" s="6">
        <v>8268</v>
      </c>
      <c r="C390" s="12">
        <v>42</v>
      </c>
      <c r="D390" s="6" t="s">
        <v>11</v>
      </c>
      <c r="E390" s="6" t="s">
        <v>316</v>
      </c>
      <c r="F390" s="10">
        <v>33564</v>
      </c>
      <c r="G390" s="12">
        <v>22</v>
      </c>
      <c r="H390" s="8">
        <v>181466</v>
      </c>
      <c r="I390" s="6" t="str" cm="1">
        <f t="array" ref="I390">_xlfn.IFS(C390&gt;50,"50+",C390&gt;=30,"30-50",C390&lt;30,"Under 30")</f>
        <v>30-50</v>
      </c>
      <c r="J390" s="6" t="str" cm="1">
        <f t="array" ref="J390">_xlfn.IFS(H390&gt;200000,"2 Lakhs +",H390&gt;=100000,"1-2 Lakhs",H390&lt;100000,"Below 1 Lakhs")</f>
        <v>1-2 Lakhs</v>
      </c>
    </row>
    <row r="391" spans="1:10" x14ac:dyDescent="0.25">
      <c r="A391" s="12">
        <v>390</v>
      </c>
      <c r="B391" s="6">
        <v>6197</v>
      </c>
      <c r="C391" s="12">
        <v>61</v>
      </c>
      <c r="D391" s="6" t="s">
        <v>13</v>
      </c>
      <c r="E391" s="6" t="s">
        <v>316</v>
      </c>
      <c r="F391" s="10">
        <v>29301</v>
      </c>
      <c r="G391" s="12">
        <v>32</v>
      </c>
      <c r="H391" s="8">
        <v>249787</v>
      </c>
      <c r="I391" s="6" t="str" cm="1">
        <f t="array" ref="I391">_xlfn.IFS(C391&gt;50,"50+",C391&gt;=30,"30-50",C391&lt;30,"Under 30")</f>
        <v>50+</v>
      </c>
      <c r="J391" s="6" t="str" cm="1">
        <f t="array" ref="J391">_xlfn.IFS(H391&gt;200000,"2 Lakhs +",H391&gt;=100000,"1-2 Lakhs",H391&lt;100000,"Below 1 Lakhs")</f>
        <v>2 Lakhs +</v>
      </c>
    </row>
    <row r="392" spans="1:10" x14ac:dyDescent="0.25">
      <c r="A392" s="12">
        <v>391</v>
      </c>
      <c r="B392" s="6">
        <v>6190</v>
      </c>
      <c r="C392" s="12">
        <v>23</v>
      </c>
      <c r="D392" s="6" t="s">
        <v>17</v>
      </c>
      <c r="E392" s="6" t="s">
        <v>317</v>
      </c>
      <c r="F392" s="10">
        <v>42506</v>
      </c>
      <c r="G392" s="12">
        <v>10</v>
      </c>
      <c r="H392" s="8">
        <v>75579</v>
      </c>
      <c r="I392" s="6" t="str" cm="1">
        <f t="array" ref="I392">_xlfn.IFS(C392&gt;50,"50+",C392&gt;=30,"30-50",C392&lt;30,"Under 30")</f>
        <v>Under 30</v>
      </c>
      <c r="J392" s="6" t="str" cm="1">
        <f t="array" ref="J392">_xlfn.IFS(H392&gt;200000,"2 Lakhs +",H392&gt;=100000,"1-2 Lakhs",H392&lt;100000,"Below 1 Lakhs")</f>
        <v>Below 1 Lakhs</v>
      </c>
    </row>
    <row r="393" spans="1:10" x14ac:dyDescent="0.25">
      <c r="A393" s="12">
        <v>392</v>
      </c>
      <c r="B393" s="6">
        <v>8585</v>
      </c>
      <c r="C393" s="12">
        <v>33</v>
      </c>
      <c r="D393" s="6" t="s">
        <v>10</v>
      </c>
      <c r="E393" s="6" t="s">
        <v>316</v>
      </c>
      <c r="F393" s="10">
        <v>42298</v>
      </c>
      <c r="G393" s="12">
        <v>14</v>
      </c>
      <c r="H393" s="8">
        <v>110956</v>
      </c>
      <c r="I393" s="6" t="str" cm="1">
        <f t="array" ref="I393">_xlfn.IFS(C393&gt;50,"50+",C393&gt;=30,"30-50",C393&lt;30,"Under 30")</f>
        <v>30-50</v>
      </c>
      <c r="J393" s="6" t="str" cm="1">
        <f t="array" ref="J393">_xlfn.IFS(H393&gt;200000,"2 Lakhs +",H393&gt;=100000,"1-2 Lakhs",H393&lt;100000,"Below 1 Lakhs")</f>
        <v>1-2 Lakhs</v>
      </c>
    </row>
    <row r="394" spans="1:10" x14ac:dyDescent="0.25">
      <c r="A394" s="12">
        <v>393</v>
      </c>
      <c r="B394" s="6">
        <v>4689</v>
      </c>
      <c r="C394" s="12">
        <v>52</v>
      </c>
      <c r="D394" s="6" t="s">
        <v>11</v>
      </c>
      <c r="E394" s="6" t="s">
        <v>316</v>
      </c>
      <c r="F394" s="10">
        <v>41755</v>
      </c>
      <c r="G394" s="12">
        <v>25</v>
      </c>
      <c r="H394" s="8">
        <v>205417</v>
      </c>
      <c r="I394" s="6" t="str" cm="1">
        <f t="array" ref="I394">_xlfn.IFS(C394&gt;50,"50+",C394&gt;=30,"30-50",C394&lt;30,"Under 30")</f>
        <v>50+</v>
      </c>
      <c r="J394" s="6" t="str" cm="1">
        <f t="array" ref="J394">_xlfn.IFS(H394&gt;200000,"2 Lakhs +",H394&gt;=100000,"1-2 Lakhs",H394&lt;100000,"Below 1 Lakhs")</f>
        <v>2 Lakhs +</v>
      </c>
    </row>
    <row r="395" spans="1:10" x14ac:dyDescent="0.25">
      <c r="A395" s="12">
        <v>394</v>
      </c>
      <c r="B395" s="6">
        <v>9048</v>
      </c>
      <c r="C395" s="12">
        <v>44</v>
      </c>
      <c r="D395" s="6" t="s">
        <v>8</v>
      </c>
      <c r="E395" s="6" t="s">
        <v>316</v>
      </c>
      <c r="F395" s="10">
        <v>28352</v>
      </c>
      <c r="G395" s="12">
        <v>25</v>
      </c>
      <c r="H395" s="8">
        <v>196804</v>
      </c>
      <c r="I395" s="6" t="str" cm="1">
        <f t="array" ref="I395">_xlfn.IFS(C395&gt;50,"50+",C395&gt;=30,"30-50",C395&lt;30,"Under 30")</f>
        <v>30-50</v>
      </c>
      <c r="J395" s="6" t="str" cm="1">
        <f t="array" ref="J395">_xlfn.IFS(H395&gt;200000,"2 Lakhs +",H395&gt;=100000,"1-2 Lakhs",H395&lt;100000,"Below 1 Lakhs")</f>
        <v>1-2 Lakhs</v>
      </c>
    </row>
    <row r="396" spans="1:10" x14ac:dyDescent="0.25">
      <c r="A396" s="12">
        <v>395</v>
      </c>
      <c r="B396" s="6">
        <v>7445</v>
      </c>
      <c r="C396" s="12">
        <v>46</v>
      </c>
      <c r="D396" s="6" t="s">
        <v>17</v>
      </c>
      <c r="E396" s="6" t="s">
        <v>316</v>
      </c>
      <c r="F396" s="10">
        <v>30445</v>
      </c>
      <c r="G396" s="12">
        <v>21</v>
      </c>
      <c r="H396" s="8">
        <v>171101</v>
      </c>
      <c r="I396" s="6" t="str" cm="1">
        <f t="array" ref="I396">_xlfn.IFS(C396&gt;50,"50+",C396&gt;=30,"30-50",C396&lt;30,"Under 30")</f>
        <v>30-50</v>
      </c>
      <c r="J396" s="6" t="str" cm="1">
        <f t="array" ref="J396">_xlfn.IFS(H396&gt;200000,"2 Lakhs +",H396&gt;=100000,"1-2 Lakhs",H396&lt;100000,"Below 1 Lakhs")</f>
        <v>1-2 Lakhs</v>
      </c>
    </row>
    <row r="397" spans="1:10" x14ac:dyDescent="0.25">
      <c r="A397" s="12">
        <v>396</v>
      </c>
      <c r="B397" s="6">
        <v>2129</v>
      </c>
      <c r="C397" s="12">
        <v>27</v>
      </c>
      <c r="D397" s="6" t="s">
        <v>17</v>
      </c>
      <c r="E397" s="6" t="s">
        <v>316</v>
      </c>
      <c r="F397" s="10">
        <v>32230</v>
      </c>
      <c r="G397" s="12">
        <v>12</v>
      </c>
      <c r="H397" s="8">
        <v>103203</v>
      </c>
      <c r="I397" s="6" t="str" cm="1">
        <f t="array" ref="I397">_xlfn.IFS(C397&gt;50,"50+",C397&gt;=30,"30-50",C397&lt;30,"Under 30")</f>
        <v>Under 30</v>
      </c>
      <c r="J397" s="6" t="str" cm="1">
        <f t="array" ref="J397">_xlfn.IFS(H397&gt;200000,"2 Lakhs +",H397&gt;=100000,"1-2 Lakhs",H397&lt;100000,"Below 1 Lakhs")</f>
        <v>1-2 Lakhs</v>
      </c>
    </row>
    <row r="398" spans="1:10" x14ac:dyDescent="0.25">
      <c r="A398" s="12">
        <v>397</v>
      </c>
      <c r="B398" s="6">
        <v>2973</v>
      </c>
      <c r="C398" s="12">
        <v>26</v>
      </c>
      <c r="D398" s="6" t="s">
        <v>8</v>
      </c>
      <c r="E398" s="6" t="s">
        <v>317</v>
      </c>
      <c r="F398" s="10">
        <v>26992</v>
      </c>
      <c r="G398" s="12">
        <v>15</v>
      </c>
      <c r="H398" s="8">
        <v>120056</v>
      </c>
      <c r="I398" s="6" t="str" cm="1">
        <f t="array" ref="I398">_xlfn.IFS(C398&gt;50,"50+",C398&gt;=30,"30-50",C398&lt;30,"Under 30")</f>
        <v>Under 30</v>
      </c>
      <c r="J398" s="6" t="str" cm="1">
        <f t="array" ref="J398">_xlfn.IFS(H398&gt;200000,"2 Lakhs +",H398&gt;=100000,"1-2 Lakhs",H398&lt;100000,"Below 1 Lakhs")</f>
        <v>1-2 Lakhs</v>
      </c>
    </row>
    <row r="399" spans="1:10" x14ac:dyDescent="0.25">
      <c r="A399" s="12">
        <v>398</v>
      </c>
      <c r="B399" s="6">
        <v>5722</v>
      </c>
      <c r="C399" s="12">
        <v>30</v>
      </c>
      <c r="D399" s="6" t="s">
        <v>10</v>
      </c>
      <c r="E399" s="6" t="s">
        <v>317</v>
      </c>
      <c r="F399" s="10">
        <v>43206</v>
      </c>
      <c r="G399" s="12">
        <v>16</v>
      </c>
      <c r="H399" s="8">
        <v>136030</v>
      </c>
      <c r="I399" s="6" t="str" cm="1">
        <f t="array" ref="I399">_xlfn.IFS(C399&gt;50,"50+",C399&gt;=30,"30-50",C399&lt;30,"Under 30")</f>
        <v>30-50</v>
      </c>
      <c r="J399" s="6" t="str" cm="1">
        <f t="array" ref="J399">_xlfn.IFS(H399&gt;200000,"2 Lakhs +",H399&gt;=100000,"1-2 Lakhs",H399&lt;100000,"Below 1 Lakhs")</f>
        <v>1-2 Lakhs</v>
      </c>
    </row>
    <row r="400" spans="1:10" x14ac:dyDescent="0.25">
      <c r="A400" s="12">
        <v>399</v>
      </c>
      <c r="B400" s="6">
        <v>4334</v>
      </c>
      <c r="C400" s="12">
        <v>58</v>
      </c>
      <c r="D400" s="6" t="s">
        <v>17</v>
      </c>
      <c r="E400" s="6" t="s">
        <v>316</v>
      </c>
      <c r="F400" s="10">
        <v>42970</v>
      </c>
      <c r="G400" s="12">
        <v>28</v>
      </c>
      <c r="H400" s="8">
        <v>225695</v>
      </c>
      <c r="I400" s="6" t="str" cm="1">
        <f t="array" ref="I400">_xlfn.IFS(C400&gt;50,"50+",C400&gt;=30,"30-50",C400&lt;30,"Under 30")</f>
        <v>50+</v>
      </c>
      <c r="J400" s="6" t="str" cm="1">
        <f t="array" ref="J400">_xlfn.IFS(H400&gt;200000,"2 Lakhs +",H400&gt;=100000,"1-2 Lakhs",H400&lt;100000,"Below 1 Lakhs")</f>
        <v>2 Lakhs +</v>
      </c>
    </row>
    <row r="401" spans="1:10" x14ac:dyDescent="0.25">
      <c r="A401" s="12">
        <v>400</v>
      </c>
      <c r="B401" s="6">
        <v>3900</v>
      </c>
      <c r="C401" s="12">
        <v>44</v>
      </c>
      <c r="D401" s="6" t="s">
        <v>17</v>
      </c>
      <c r="E401" s="6" t="s">
        <v>317</v>
      </c>
      <c r="F401" s="10">
        <v>31801</v>
      </c>
      <c r="G401" s="12">
        <v>18</v>
      </c>
      <c r="H401" s="8">
        <v>140411</v>
      </c>
      <c r="I401" s="6" t="str" cm="1">
        <f t="array" ref="I401">_xlfn.IFS(C401&gt;50,"50+",C401&gt;=30,"30-50",C401&lt;30,"Under 30")</f>
        <v>30-50</v>
      </c>
      <c r="J401" s="6" t="str" cm="1">
        <f t="array" ref="J401">_xlfn.IFS(H401&gt;200000,"2 Lakhs +",H401&gt;=100000,"1-2 Lakhs",H401&lt;100000,"Below 1 Lakhs")</f>
        <v>1-2 Lakhs</v>
      </c>
    </row>
    <row r="402" spans="1:10" x14ac:dyDescent="0.25">
      <c r="A402" s="12">
        <v>401</v>
      </c>
      <c r="B402" s="6">
        <v>9317</v>
      </c>
      <c r="C402" s="12">
        <v>45</v>
      </c>
      <c r="D402" s="6" t="s">
        <v>8</v>
      </c>
      <c r="E402" s="6" t="s">
        <v>317</v>
      </c>
      <c r="F402" s="10">
        <v>43081</v>
      </c>
      <c r="G402" s="12">
        <v>21</v>
      </c>
      <c r="H402" s="8">
        <v>169472</v>
      </c>
      <c r="I402" s="6" t="str" cm="1">
        <f t="array" ref="I402">_xlfn.IFS(C402&gt;50,"50+",C402&gt;=30,"30-50",C402&lt;30,"Under 30")</f>
        <v>30-50</v>
      </c>
      <c r="J402" s="6" t="str" cm="1">
        <f t="array" ref="J402">_xlfn.IFS(H402&gt;200000,"2 Lakhs +",H402&gt;=100000,"1-2 Lakhs",H402&lt;100000,"Below 1 Lakhs")</f>
        <v>1-2 Lakhs</v>
      </c>
    </row>
    <row r="403" spans="1:10" x14ac:dyDescent="0.25">
      <c r="A403" s="12">
        <v>402</v>
      </c>
      <c r="B403" s="6">
        <v>7802</v>
      </c>
      <c r="C403" s="12">
        <v>23</v>
      </c>
      <c r="D403" s="6" t="s">
        <v>8</v>
      </c>
      <c r="E403" s="6" t="s">
        <v>316</v>
      </c>
      <c r="F403" s="10">
        <v>37831</v>
      </c>
      <c r="G403" s="12">
        <v>12</v>
      </c>
      <c r="H403" s="8">
        <v>94602</v>
      </c>
      <c r="I403" s="6" t="str" cm="1">
        <f t="array" ref="I403">_xlfn.IFS(C403&gt;50,"50+",C403&gt;=30,"30-50",C403&lt;30,"Under 30")</f>
        <v>Under 30</v>
      </c>
      <c r="J403" s="6" t="str" cm="1">
        <f t="array" ref="J403">_xlfn.IFS(H403&gt;200000,"2 Lakhs +",H403&gt;=100000,"1-2 Lakhs",H403&lt;100000,"Below 1 Lakhs")</f>
        <v>Below 1 Lakhs</v>
      </c>
    </row>
    <row r="404" spans="1:10" x14ac:dyDescent="0.25">
      <c r="A404" s="12">
        <v>403</v>
      </c>
      <c r="B404" s="6">
        <v>3189</v>
      </c>
      <c r="C404" s="12">
        <v>43</v>
      </c>
      <c r="D404" s="6" t="s">
        <v>8</v>
      </c>
      <c r="E404" s="6" t="s">
        <v>317</v>
      </c>
      <c r="F404" s="10">
        <v>31012</v>
      </c>
      <c r="G404" s="12">
        <v>22</v>
      </c>
      <c r="H404" s="8">
        <v>176423</v>
      </c>
      <c r="I404" s="6" t="str" cm="1">
        <f t="array" ref="I404">_xlfn.IFS(C404&gt;50,"50+",C404&gt;=30,"30-50",C404&lt;30,"Under 30")</f>
        <v>30-50</v>
      </c>
      <c r="J404" s="6" t="str" cm="1">
        <f t="array" ref="J404">_xlfn.IFS(H404&gt;200000,"2 Lakhs +",H404&gt;=100000,"1-2 Lakhs",H404&lt;100000,"Below 1 Lakhs")</f>
        <v>1-2 Lakhs</v>
      </c>
    </row>
    <row r="405" spans="1:10" x14ac:dyDescent="0.25">
      <c r="A405" s="12">
        <v>404</v>
      </c>
      <c r="B405" s="6">
        <v>2803</v>
      </c>
      <c r="C405" s="12">
        <v>41</v>
      </c>
      <c r="D405" s="6" t="s">
        <v>8</v>
      </c>
      <c r="E405" s="6" t="s">
        <v>317</v>
      </c>
      <c r="F405" s="10">
        <v>28112</v>
      </c>
      <c r="G405" s="12">
        <v>20</v>
      </c>
      <c r="H405" s="8">
        <v>173046</v>
      </c>
      <c r="I405" s="6" t="str" cm="1">
        <f t="array" ref="I405">_xlfn.IFS(C405&gt;50,"50+",C405&gt;=30,"30-50",C405&lt;30,"Under 30")</f>
        <v>30-50</v>
      </c>
      <c r="J405" s="6" t="str" cm="1">
        <f t="array" ref="J405">_xlfn.IFS(H405&gt;200000,"2 Lakhs +",H405&gt;=100000,"1-2 Lakhs",H405&lt;100000,"Below 1 Lakhs")</f>
        <v>1-2 Lakhs</v>
      </c>
    </row>
    <row r="406" spans="1:10" x14ac:dyDescent="0.25">
      <c r="A406" s="12">
        <v>405</v>
      </c>
      <c r="B406" s="6">
        <v>9086</v>
      </c>
      <c r="C406" s="12">
        <v>26</v>
      </c>
      <c r="D406" s="6" t="s">
        <v>11</v>
      </c>
      <c r="E406" s="6" t="s">
        <v>316</v>
      </c>
      <c r="F406" s="10">
        <v>27954</v>
      </c>
      <c r="G406" s="12">
        <v>12</v>
      </c>
      <c r="H406" s="8">
        <v>82230</v>
      </c>
      <c r="I406" s="6" t="str" cm="1">
        <f t="array" ref="I406">_xlfn.IFS(C406&gt;50,"50+",C406&gt;=30,"30-50",C406&lt;30,"Under 30")</f>
        <v>Under 30</v>
      </c>
      <c r="J406" s="6" t="str" cm="1">
        <f t="array" ref="J406">_xlfn.IFS(H406&gt;200000,"2 Lakhs +",H406&gt;=100000,"1-2 Lakhs",H406&lt;100000,"Below 1 Lakhs")</f>
        <v>Below 1 Lakhs</v>
      </c>
    </row>
    <row r="407" spans="1:10" x14ac:dyDescent="0.25">
      <c r="A407" s="12">
        <v>406</v>
      </c>
      <c r="B407" s="6">
        <v>9975</v>
      </c>
      <c r="C407" s="12">
        <v>22</v>
      </c>
      <c r="D407" s="6" t="s">
        <v>17</v>
      </c>
      <c r="E407" s="6" t="s">
        <v>317</v>
      </c>
      <c r="F407" s="10">
        <v>38123</v>
      </c>
      <c r="G407" s="12">
        <v>9</v>
      </c>
      <c r="H407" s="8">
        <v>65079</v>
      </c>
      <c r="I407" s="6" t="str" cm="1">
        <f t="array" ref="I407">_xlfn.IFS(C407&gt;50,"50+",C407&gt;=30,"30-50",C407&lt;30,"Under 30")</f>
        <v>Under 30</v>
      </c>
      <c r="J407" s="6" t="str" cm="1">
        <f t="array" ref="J407">_xlfn.IFS(H407&gt;200000,"2 Lakhs +",H407&gt;=100000,"1-2 Lakhs",H407&lt;100000,"Below 1 Lakhs")</f>
        <v>Below 1 Lakhs</v>
      </c>
    </row>
    <row r="408" spans="1:10" x14ac:dyDescent="0.25">
      <c r="A408" s="12">
        <v>407</v>
      </c>
      <c r="B408" s="6">
        <v>8328</v>
      </c>
      <c r="C408" s="12">
        <v>51</v>
      </c>
      <c r="D408" s="6" t="s">
        <v>10</v>
      </c>
      <c r="E408" s="6" t="s">
        <v>317</v>
      </c>
      <c r="F408" s="10">
        <v>31712</v>
      </c>
      <c r="G408" s="12">
        <v>24</v>
      </c>
      <c r="H408" s="8">
        <v>194961</v>
      </c>
      <c r="I408" s="6" t="str" cm="1">
        <f t="array" ref="I408">_xlfn.IFS(C408&gt;50,"50+",C408&gt;=30,"30-50",C408&lt;30,"Under 30")</f>
        <v>50+</v>
      </c>
      <c r="J408" s="6" t="str" cm="1">
        <f t="array" ref="J408">_xlfn.IFS(H408&gt;200000,"2 Lakhs +",H408&gt;=100000,"1-2 Lakhs",H408&lt;100000,"Below 1 Lakhs")</f>
        <v>1-2 Lakhs</v>
      </c>
    </row>
    <row r="409" spans="1:10" x14ac:dyDescent="0.25">
      <c r="A409" s="12">
        <v>408</v>
      </c>
      <c r="B409" s="6">
        <v>1695</v>
      </c>
      <c r="C409" s="12">
        <v>55</v>
      </c>
      <c r="D409" s="6" t="s">
        <v>17</v>
      </c>
      <c r="E409" s="6" t="s">
        <v>316</v>
      </c>
      <c r="F409" s="10">
        <v>37630</v>
      </c>
      <c r="G409" s="12">
        <v>24</v>
      </c>
      <c r="H409" s="8">
        <v>192619</v>
      </c>
      <c r="I409" s="6" t="str" cm="1">
        <f t="array" ref="I409">_xlfn.IFS(C409&gt;50,"50+",C409&gt;=30,"30-50",C409&lt;30,"Under 30")</f>
        <v>50+</v>
      </c>
      <c r="J409" s="6" t="str" cm="1">
        <f t="array" ref="J409">_xlfn.IFS(H409&gt;200000,"2 Lakhs +",H409&gt;=100000,"1-2 Lakhs",H409&lt;100000,"Below 1 Lakhs")</f>
        <v>1-2 Lakhs</v>
      </c>
    </row>
    <row r="410" spans="1:10" x14ac:dyDescent="0.25">
      <c r="A410" s="12">
        <v>409</v>
      </c>
      <c r="B410" s="6">
        <v>6633</v>
      </c>
      <c r="C410" s="12">
        <v>27</v>
      </c>
      <c r="D410" s="6" t="s">
        <v>13</v>
      </c>
      <c r="E410" s="6" t="s">
        <v>316</v>
      </c>
      <c r="F410" s="10">
        <v>37342</v>
      </c>
      <c r="G410" s="12">
        <v>16</v>
      </c>
      <c r="H410" s="8">
        <v>123888</v>
      </c>
      <c r="I410" s="6" t="str" cm="1">
        <f t="array" ref="I410">_xlfn.IFS(C410&gt;50,"50+",C410&gt;=30,"30-50",C410&lt;30,"Under 30")</f>
        <v>Under 30</v>
      </c>
      <c r="J410" s="6" t="str" cm="1">
        <f t="array" ref="J410">_xlfn.IFS(H410&gt;200000,"2 Lakhs +",H410&gt;=100000,"1-2 Lakhs",H410&lt;100000,"Below 1 Lakhs")</f>
        <v>1-2 Lakhs</v>
      </c>
    </row>
    <row r="411" spans="1:10" x14ac:dyDescent="0.25">
      <c r="A411" s="12">
        <v>410</v>
      </c>
      <c r="B411" s="6">
        <v>5922</v>
      </c>
      <c r="C411" s="12">
        <v>57</v>
      </c>
      <c r="D411" s="6" t="s">
        <v>10</v>
      </c>
      <c r="E411" s="6" t="s">
        <v>317</v>
      </c>
      <c r="F411" s="10">
        <v>43953</v>
      </c>
      <c r="G411" s="12">
        <v>29</v>
      </c>
      <c r="H411" s="8">
        <v>225741</v>
      </c>
      <c r="I411" s="6" t="str" cm="1">
        <f t="array" ref="I411">_xlfn.IFS(C411&gt;50,"50+",C411&gt;=30,"30-50",C411&lt;30,"Under 30")</f>
        <v>50+</v>
      </c>
      <c r="J411" s="6" t="str" cm="1">
        <f t="array" ref="J411">_xlfn.IFS(H411&gt;200000,"2 Lakhs +",H411&gt;=100000,"1-2 Lakhs",H411&lt;100000,"Below 1 Lakhs")</f>
        <v>2 Lakhs +</v>
      </c>
    </row>
    <row r="412" spans="1:10" x14ac:dyDescent="0.25">
      <c r="A412" s="12">
        <v>411</v>
      </c>
      <c r="B412" s="6">
        <v>4364</v>
      </c>
      <c r="C412" s="12">
        <v>54</v>
      </c>
      <c r="D412" s="6" t="s">
        <v>8</v>
      </c>
      <c r="E412" s="6" t="s">
        <v>316</v>
      </c>
      <c r="F412" s="10">
        <v>39838</v>
      </c>
      <c r="G412" s="12">
        <v>28</v>
      </c>
      <c r="H412" s="8">
        <v>221040</v>
      </c>
      <c r="I412" s="6" t="str" cm="1">
        <f t="array" ref="I412">_xlfn.IFS(C412&gt;50,"50+",C412&gt;=30,"30-50",C412&lt;30,"Under 30")</f>
        <v>50+</v>
      </c>
      <c r="J412" s="6" t="str" cm="1">
        <f t="array" ref="J412">_xlfn.IFS(H412&gt;200000,"2 Lakhs +",H412&gt;=100000,"1-2 Lakhs",H412&lt;100000,"Below 1 Lakhs")</f>
        <v>2 Lakhs +</v>
      </c>
    </row>
    <row r="413" spans="1:10" x14ac:dyDescent="0.25">
      <c r="A413" s="12">
        <v>412</v>
      </c>
      <c r="B413" s="6">
        <v>9938</v>
      </c>
      <c r="C413" s="12">
        <v>34</v>
      </c>
      <c r="D413" s="6" t="s">
        <v>13</v>
      </c>
      <c r="E413" s="6" t="s">
        <v>316</v>
      </c>
      <c r="F413" s="10">
        <v>43211</v>
      </c>
      <c r="G413" s="12">
        <v>16</v>
      </c>
      <c r="H413" s="8">
        <v>133650</v>
      </c>
      <c r="I413" s="6" t="str" cm="1">
        <f t="array" ref="I413">_xlfn.IFS(C413&gt;50,"50+",C413&gt;=30,"30-50",C413&lt;30,"Under 30")</f>
        <v>30-50</v>
      </c>
      <c r="J413" s="6" t="str" cm="1">
        <f t="array" ref="J413">_xlfn.IFS(H413&gt;200000,"2 Lakhs +",H413&gt;=100000,"1-2 Lakhs",H413&lt;100000,"Below 1 Lakhs")</f>
        <v>1-2 Lakhs</v>
      </c>
    </row>
    <row r="414" spans="1:10" x14ac:dyDescent="0.25">
      <c r="A414" s="12">
        <v>413</v>
      </c>
      <c r="B414" s="6">
        <v>4303</v>
      </c>
      <c r="C414" s="12">
        <v>31</v>
      </c>
      <c r="D414" s="6" t="s">
        <v>11</v>
      </c>
      <c r="E414" s="6" t="s">
        <v>316</v>
      </c>
      <c r="F414" s="10">
        <v>29544</v>
      </c>
      <c r="G414" s="12">
        <v>11</v>
      </c>
      <c r="H414" s="8">
        <v>93339</v>
      </c>
      <c r="I414" s="6" t="str" cm="1">
        <f t="array" ref="I414">_xlfn.IFS(C414&gt;50,"50+",C414&gt;=30,"30-50",C414&lt;30,"Under 30")</f>
        <v>30-50</v>
      </c>
      <c r="J414" s="6" t="str" cm="1">
        <f t="array" ref="J414">_xlfn.IFS(H414&gt;200000,"2 Lakhs +",H414&gt;=100000,"1-2 Lakhs",H414&lt;100000,"Below 1 Lakhs")</f>
        <v>Below 1 Lakhs</v>
      </c>
    </row>
    <row r="415" spans="1:10" x14ac:dyDescent="0.25">
      <c r="A415" s="12">
        <v>414</v>
      </c>
      <c r="B415" s="6">
        <v>4845</v>
      </c>
      <c r="C415" s="12">
        <v>42</v>
      </c>
      <c r="D415" s="6" t="s">
        <v>8</v>
      </c>
      <c r="E415" s="6" t="s">
        <v>316</v>
      </c>
      <c r="F415" s="10">
        <v>34104</v>
      </c>
      <c r="G415" s="12">
        <v>20</v>
      </c>
      <c r="H415" s="8">
        <v>163242</v>
      </c>
      <c r="I415" s="6" t="str" cm="1">
        <f t="array" ref="I415">_xlfn.IFS(C415&gt;50,"50+",C415&gt;=30,"30-50",C415&lt;30,"Under 30")</f>
        <v>30-50</v>
      </c>
      <c r="J415" s="6" t="str" cm="1">
        <f t="array" ref="J415">_xlfn.IFS(H415&gt;200000,"2 Lakhs +",H415&gt;=100000,"1-2 Lakhs",H415&lt;100000,"Below 1 Lakhs")</f>
        <v>1-2 Lakhs</v>
      </c>
    </row>
    <row r="416" spans="1:10" x14ac:dyDescent="0.25">
      <c r="A416" s="12">
        <v>415</v>
      </c>
      <c r="B416" s="6">
        <v>8086</v>
      </c>
      <c r="C416" s="12">
        <v>36</v>
      </c>
      <c r="D416" s="6" t="s">
        <v>17</v>
      </c>
      <c r="E416" s="6" t="s">
        <v>316</v>
      </c>
      <c r="F416" s="10">
        <v>27530</v>
      </c>
      <c r="G416" s="12">
        <v>16</v>
      </c>
      <c r="H416" s="8">
        <v>126451</v>
      </c>
      <c r="I416" s="6" t="str" cm="1">
        <f t="array" ref="I416">_xlfn.IFS(C416&gt;50,"50+",C416&gt;=30,"30-50",C416&lt;30,"Under 30")</f>
        <v>30-50</v>
      </c>
      <c r="J416" s="6" t="str" cm="1">
        <f t="array" ref="J416">_xlfn.IFS(H416&gt;200000,"2 Lakhs +",H416&gt;=100000,"1-2 Lakhs",H416&lt;100000,"Below 1 Lakhs")</f>
        <v>1-2 Lakhs</v>
      </c>
    </row>
    <row r="417" spans="1:10" x14ac:dyDescent="0.25">
      <c r="A417" s="12">
        <v>416</v>
      </c>
      <c r="B417" s="6">
        <v>4245</v>
      </c>
      <c r="C417" s="12">
        <v>23</v>
      </c>
      <c r="D417" s="6" t="s">
        <v>13</v>
      </c>
      <c r="E417" s="6" t="s">
        <v>316</v>
      </c>
      <c r="F417" s="10">
        <v>40832</v>
      </c>
      <c r="G417" s="12">
        <v>11</v>
      </c>
      <c r="H417" s="8">
        <v>91619</v>
      </c>
      <c r="I417" s="6" t="str" cm="1">
        <f t="array" ref="I417">_xlfn.IFS(C417&gt;50,"50+",C417&gt;=30,"30-50",C417&lt;30,"Under 30")</f>
        <v>Under 30</v>
      </c>
      <c r="J417" s="6" t="str" cm="1">
        <f t="array" ref="J417">_xlfn.IFS(H417&gt;200000,"2 Lakhs +",H417&gt;=100000,"1-2 Lakhs",H417&lt;100000,"Below 1 Lakhs")</f>
        <v>Below 1 Lakhs</v>
      </c>
    </row>
    <row r="418" spans="1:10" x14ac:dyDescent="0.25">
      <c r="A418" s="12">
        <v>417</v>
      </c>
      <c r="B418" s="6">
        <v>6736</v>
      </c>
      <c r="C418" s="12">
        <v>43</v>
      </c>
      <c r="D418" s="6" t="s">
        <v>11</v>
      </c>
      <c r="E418" s="6" t="s">
        <v>317</v>
      </c>
      <c r="F418" s="10">
        <v>29109</v>
      </c>
      <c r="G418" s="12">
        <v>20</v>
      </c>
      <c r="H418" s="8">
        <v>171600</v>
      </c>
      <c r="I418" s="6" t="str" cm="1">
        <f t="array" ref="I418">_xlfn.IFS(C418&gt;50,"50+",C418&gt;=30,"30-50",C418&lt;30,"Under 30")</f>
        <v>30-50</v>
      </c>
      <c r="J418" s="6" t="str" cm="1">
        <f t="array" ref="J418">_xlfn.IFS(H418&gt;200000,"2 Lakhs +",H418&gt;=100000,"1-2 Lakhs",H418&lt;100000,"Below 1 Lakhs")</f>
        <v>1-2 Lakhs</v>
      </c>
    </row>
    <row r="419" spans="1:10" x14ac:dyDescent="0.25">
      <c r="A419" s="12">
        <v>418</v>
      </c>
      <c r="B419" s="6">
        <v>9276</v>
      </c>
      <c r="C419" s="12">
        <v>23</v>
      </c>
      <c r="D419" s="6" t="s">
        <v>17</v>
      </c>
      <c r="E419" s="6" t="s">
        <v>316</v>
      </c>
      <c r="F419" s="10">
        <v>30383</v>
      </c>
      <c r="G419" s="12">
        <v>10</v>
      </c>
      <c r="H419" s="8">
        <v>75749</v>
      </c>
      <c r="I419" s="6" t="str" cm="1">
        <f t="array" ref="I419">_xlfn.IFS(C419&gt;50,"50+",C419&gt;=30,"30-50",C419&lt;30,"Under 30")</f>
        <v>Under 30</v>
      </c>
      <c r="J419" s="6" t="str" cm="1">
        <f t="array" ref="J419">_xlfn.IFS(H419&gt;200000,"2 Lakhs +",H419&gt;=100000,"1-2 Lakhs",H419&lt;100000,"Below 1 Lakhs")</f>
        <v>Below 1 Lakhs</v>
      </c>
    </row>
    <row r="420" spans="1:10" x14ac:dyDescent="0.25">
      <c r="A420" s="12">
        <v>419</v>
      </c>
      <c r="B420" s="6">
        <v>4411</v>
      </c>
      <c r="C420" s="12">
        <v>36</v>
      </c>
      <c r="D420" s="6" t="s">
        <v>11</v>
      </c>
      <c r="E420" s="6" t="s">
        <v>317</v>
      </c>
      <c r="F420" s="10">
        <v>44176</v>
      </c>
      <c r="G420" s="12">
        <v>19</v>
      </c>
      <c r="H420" s="8">
        <v>146689</v>
      </c>
      <c r="I420" s="6" t="str" cm="1">
        <f t="array" ref="I420">_xlfn.IFS(C420&gt;50,"50+",C420&gt;=30,"30-50",C420&lt;30,"Under 30")</f>
        <v>30-50</v>
      </c>
      <c r="J420" s="6" t="str" cm="1">
        <f t="array" ref="J420">_xlfn.IFS(H420&gt;200000,"2 Lakhs +",H420&gt;=100000,"1-2 Lakhs",H420&lt;100000,"Below 1 Lakhs")</f>
        <v>1-2 Lakhs</v>
      </c>
    </row>
    <row r="421" spans="1:10" x14ac:dyDescent="0.25">
      <c r="A421" s="12">
        <v>420</v>
      </c>
      <c r="B421" s="6">
        <v>3693</v>
      </c>
      <c r="C421" s="12">
        <v>36</v>
      </c>
      <c r="D421" s="6" t="s">
        <v>17</v>
      </c>
      <c r="E421" s="6" t="s">
        <v>317</v>
      </c>
      <c r="F421" s="10">
        <v>37730</v>
      </c>
      <c r="G421" s="12">
        <v>17</v>
      </c>
      <c r="H421" s="8">
        <v>141159</v>
      </c>
      <c r="I421" s="6" t="str" cm="1">
        <f t="array" ref="I421">_xlfn.IFS(C421&gt;50,"50+",C421&gt;=30,"30-50",C421&lt;30,"Under 30")</f>
        <v>30-50</v>
      </c>
      <c r="J421" s="6" t="str" cm="1">
        <f t="array" ref="J421">_xlfn.IFS(H421&gt;200000,"2 Lakhs +",H421&gt;=100000,"1-2 Lakhs",H421&lt;100000,"Below 1 Lakhs")</f>
        <v>1-2 Lakhs</v>
      </c>
    </row>
    <row r="422" spans="1:10" x14ac:dyDescent="0.25">
      <c r="A422" s="12">
        <v>421</v>
      </c>
      <c r="B422" s="6">
        <v>1513</v>
      </c>
      <c r="C422" s="12">
        <v>41</v>
      </c>
      <c r="D422" s="6" t="s">
        <v>8</v>
      </c>
      <c r="E422" s="6" t="s">
        <v>316</v>
      </c>
      <c r="F422" s="10">
        <v>36515</v>
      </c>
      <c r="G422" s="12">
        <v>18</v>
      </c>
      <c r="H422" s="8">
        <v>143584</v>
      </c>
      <c r="I422" s="6" t="str" cm="1">
        <f t="array" ref="I422">_xlfn.IFS(C422&gt;50,"50+",C422&gt;=30,"30-50",C422&lt;30,"Under 30")</f>
        <v>30-50</v>
      </c>
      <c r="J422" s="6" t="str" cm="1">
        <f t="array" ref="J422">_xlfn.IFS(H422&gt;200000,"2 Lakhs +",H422&gt;=100000,"1-2 Lakhs",H422&lt;100000,"Below 1 Lakhs")</f>
        <v>1-2 Lakhs</v>
      </c>
    </row>
    <row r="423" spans="1:10" x14ac:dyDescent="0.25">
      <c r="A423" s="12">
        <v>422</v>
      </c>
      <c r="B423" s="6">
        <v>6094</v>
      </c>
      <c r="C423" s="12">
        <v>30</v>
      </c>
      <c r="D423" s="6" t="s">
        <v>11</v>
      </c>
      <c r="E423" s="6" t="s">
        <v>317</v>
      </c>
      <c r="F423" s="10">
        <v>40968</v>
      </c>
      <c r="G423" s="12">
        <v>12</v>
      </c>
      <c r="H423" s="8">
        <v>92136</v>
      </c>
      <c r="I423" s="6" t="str" cm="1">
        <f t="array" ref="I423">_xlfn.IFS(C423&gt;50,"50+",C423&gt;=30,"30-50",C423&lt;30,"Under 30")</f>
        <v>30-50</v>
      </c>
      <c r="J423" s="6" t="str" cm="1">
        <f t="array" ref="J423">_xlfn.IFS(H423&gt;200000,"2 Lakhs +",H423&gt;=100000,"1-2 Lakhs",H423&lt;100000,"Below 1 Lakhs")</f>
        <v>Below 1 Lakhs</v>
      </c>
    </row>
    <row r="424" spans="1:10" x14ac:dyDescent="0.25">
      <c r="A424" s="12">
        <v>423</v>
      </c>
      <c r="B424" s="6">
        <v>9908</v>
      </c>
      <c r="C424" s="12">
        <v>53</v>
      </c>
      <c r="D424" s="6" t="s">
        <v>17</v>
      </c>
      <c r="E424" s="6" t="s">
        <v>316</v>
      </c>
      <c r="F424" s="10">
        <v>44748</v>
      </c>
      <c r="G424" s="12">
        <v>26</v>
      </c>
      <c r="H424" s="8">
        <v>204041</v>
      </c>
      <c r="I424" s="6" t="str" cm="1">
        <f t="array" ref="I424">_xlfn.IFS(C424&gt;50,"50+",C424&gt;=30,"30-50",C424&lt;30,"Under 30")</f>
        <v>50+</v>
      </c>
      <c r="J424" s="6" t="str" cm="1">
        <f t="array" ref="J424">_xlfn.IFS(H424&gt;200000,"2 Lakhs +",H424&gt;=100000,"1-2 Lakhs",H424&lt;100000,"Below 1 Lakhs")</f>
        <v>2 Lakhs +</v>
      </c>
    </row>
    <row r="425" spans="1:10" x14ac:dyDescent="0.25">
      <c r="A425" s="12">
        <v>424</v>
      </c>
      <c r="B425" s="6">
        <v>5991</v>
      </c>
      <c r="C425" s="12">
        <v>60</v>
      </c>
      <c r="D425" s="6" t="s">
        <v>13</v>
      </c>
      <c r="E425" s="6" t="s">
        <v>316</v>
      </c>
      <c r="F425" s="10">
        <v>34393</v>
      </c>
      <c r="G425" s="12">
        <v>29</v>
      </c>
      <c r="H425" s="8">
        <v>227146</v>
      </c>
      <c r="I425" s="6" t="str" cm="1">
        <f t="array" ref="I425">_xlfn.IFS(C425&gt;50,"50+",C425&gt;=30,"30-50",C425&lt;30,"Under 30")</f>
        <v>50+</v>
      </c>
      <c r="J425" s="6" t="str" cm="1">
        <f t="array" ref="J425">_xlfn.IFS(H425&gt;200000,"2 Lakhs +",H425&gt;=100000,"1-2 Lakhs",H425&lt;100000,"Below 1 Lakhs")</f>
        <v>2 Lakhs +</v>
      </c>
    </row>
    <row r="426" spans="1:10" x14ac:dyDescent="0.25">
      <c r="A426" s="12">
        <v>425</v>
      </c>
      <c r="B426" s="6">
        <v>8398</v>
      </c>
      <c r="C426" s="12">
        <v>36</v>
      </c>
      <c r="D426" s="6" t="s">
        <v>8</v>
      </c>
      <c r="E426" s="6" t="s">
        <v>317</v>
      </c>
      <c r="F426" s="10">
        <v>30562</v>
      </c>
      <c r="G426" s="12">
        <v>14</v>
      </c>
      <c r="H426" s="8">
        <v>107232</v>
      </c>
      <c r="I426" s="6" t="str" cm="1">
        <f t="array" ref="I426">_xlfn.IFS(C426&gt;50,"50+",C426&gt;=30,"30-50",C426&lt;30,"Under 30")</f>
        <v>30-50</v>
      </c>
      <c r="J426" s="6" t="str" cm="1">
        <f t="array" ref="J426">_xlfn.IFS(H426&gt;200000,"2 Lakhs +",H426&gt;=100000,"1-2 Lakhs",H426&lt;100000,"Below 1 Lakhs")</f>
        <v>1-2 Lakhs</v>
      </c>
    </row>
    <row r="427" spans="1:10" x14ac:dyDescent="0.25">
      <c r="A427" s="12">
        <v>426</v>
      </c>
      <c r="B427" s="6">
        <v>2660</v>
      </c>
      <c r="C427" s="12">
        <v>57</v>
      </c>
      <c r="D427" s="6" t="s">
        <v>10</v>
      </c>
      <c r="E427" s="6" t="s">
        <v>316</v>
      </c>
      <c r="F427" s="10">
        <v>42332</v>
      </c>
      <c r="G427" s="12">
        <v>28</v>
      </c>
      <c r="H427" s="8">
        <v>222824</v>
      </c>
      <c r="I427" s="6" t="str" cm="1">
        <f t="array" ref="I427">_xlfn.IFS(C427&gt;50,"50+",C427&gt;=30,"30-50",C427&lt;30,"Under 30")</f>
        <v>50+</v>
      </c>
      <c r="J427" s="6" t="str" cm="1">
        <f t="array" ref="J427">_xlfn.IFS(H427&gt;200000,"2 Lakhs +",H427&gt;=100000,"1-2 Lakhs",H427&lt;100000,"Below 1 Lakhs")</f>
        <v>2 Lakhs +</v>
      </c>
    </row>
    <row r="428" spans="1:10" x14ac:dyDescent="0.25">
      <c r="A428" s="12">
        <v>427</v>
      </c>
      <c r="B428" s="6">
        <v>7255</v>
      </c>
      <c r="C428" s="12">
        <v>37</v>
      </c>
      <c r="D428" s="6" t="s">
        <v>8</v>
      </c>
      <c r="E428" s="6" t="s">
        <v>316</v>
      </c>
      <c r="F428" s="10">
        <v>40231</v>
      </c>
      <c r="G428" s="12">
        <v>21</v>
      </c>
      <c r="H428" s="8">
        <v>162790</v>
      </c>
      <c r="I428" s="6" t="str" cm="1">
        <f t="array" ref="I428">_xlfn.IFS(C428&gt;50,"50+",C428&gt;=30,"30-50",C428&lt;30,"Under 30")</f>
        <v>30-50</v>
      </c>
      <c r="J428" s="6" t="str" cm="1">
        <f t="array" ref="J428">_xlfn.IFS(H428&gt;200000,"2 Lakhs +",H428&gt;=100000,"1-2 Lakhs",H428&lt;100000,"Below 1 Lakhs")</f>
        <v>1-2 Lakhs</v>
      </c>
    </row>
    <row r="429" spans="1:10" x14ac:dyDescent="0.25">
      <c r="A429" s="12">
        <v>428</v>
      </c>
      <c r="B429" s="6">
        <v>2687</v>
      </c>
      <c r="C429" s="12">
        <v>50</v>
      </c>
      <c r="D429" s="6" t="s">
        <v>17</v>
      </c>
      <c r="E429" s="6" t="s">
        <v>317</v>
      </c>
      <c r="F429" s="10">
        <v>38827</v>
      </c>
      <c r="G429" s="12">
        <v>18</v>
      </c>
      <c r="H429" s="8">
        <v>150069</v>
      </c>
      <c r="I429" s="6" t="str" cm="1">
        <f t="array" ref="I429">_xlfn.IFS(C429&gt;50,"50+",C429&gt;=30,"30-50",C429&lt;30,"Under 30")</f>
        <v>30-50</v>
      </c>
      <c r="J429" s="6" t="str" cm="1">
        <f t="array" ref="J429">_xlfn.IFS(H429&gt;200000,"2 Lakhs +",H429&gt;=100000,"1-2 Lakhs",H429&lt;100000,"Below 1 Lakhs")</f>
        <v>1-2 Lakhs</v>
      </c>
    </row>
    <row r="430" spans="1:10" x14ac:dyDescent="0.25">
      <c r="A430" s="12">
        <v>429</v>
      </c>
      <c r="B430" s="6">
        <v>8717</v>
      </c>
      <c r="C430" s="12">
        <v>44</v>
      </c>
      <c r="D430" s="6" t="s">
        <v>8</v>
      </c>
      <c r="E430" s="6" t="s">
        <v>316</v>
      </c>
      <c r="F430" s="10">
        <v>36023</v>
      </c>
      <c r="G430" s="12">
        <v>22</v>
      </c>
      <c r="H430" s="8">
        <v>172707</v>
      </c>
      <c r="I430" s="6" t="str" cm="1">
        <f t="array" ref="I430">_xlfn.IFS(C430&gt;50,"50+",C430&gt;=30,"30-50",C430&lt;30,"Under 30")</f>
        <v>30-50</v>
      </c>
      <c r="J430" s="6" t="str" cm="1">
        <f t="array" ref="J430">_xlfn.IFS(H430&gt;200000,"2 Lakhs +",H430&gt;=100000,"1-2 Lakhs",H430&lt;100000,"Below 1 Lakhs")</f>
        <v>1-2 Lakhs</v>
      </c>
    </row>
    <row r="431" spans="1:10" x14ac:dyDescent="0.25">
      <c r="A431" s="12">
        <v>430</v>
      </c>
      <c r="B431" s="6">
        <v>1471</v>
      </c>
      <c r="C431" s="12">
        <v>49</v>
      </c>
      <c r="D431" s="6" t="s">
        <v>17</v>
      </c>
      <c r="E431" s="6" t="s">
        <v>316</v>
      </c>
      <c r="F431" s="10">
        <v>44570</v>
      </c>
      <c r="G431" s="12">
        <v>25</v>
      </c>
      <c r="H431" s="8">
        <v>200491</v>
      </c>
      <c r="I431" s="6" t="str" cm="1">
        <f t="array" ref="I431">_xlfn.IFS(C431&gt;50,"50+",C431&gt;=30,"30-50",C431&lt;30,"Under 30")</f>
        <v>30-50</v>
      </c>
      <c r="J431" s="6" t="str" cm="1">
        <f t="array" ref="J431">_xlfn.IFS(H431&gt;200000,"2 Lakhs +",H431&gt;=100000,"1-2 Lakhs",H431&lt;100000,"Below 1 Lakhs")</f>
        <v>2 Lakhs +</v>
      </c>
    </row>
    <row r="432" spans="1:10" x14ac:dyDescent="0.25">
      <c r="A432" s="12">
        <v>431</v>
      </c>
      <c r="B432" s="6">
        <v>3188</v>
      </c>
      <c r="C432" s="12">
        <v>64</v>
      </c>
      <c r="D432" s="6" t="s">
        <v>8</v>
      </c>
      <c r="E432" s="6" t="s">
        <v>316</v>
      </c>
      <c r="F432" s="10">
        <v>31911</v>
      </c>
      <c r="G432" s="12">
        <v>31</v>
      </c>
      <c r="H432" s="8">
        <v>247653</v>
      </c>
      <c r="I432" s="6" t="str" cm="1">
        <f t="array" ref="I432">_xlfn.IFS(C432&gt;50,"50+",C432&gt;=30,"30-50",C432&lt;30,"Under 30")</f>
        <v>50+</v>
      </c>
      <c r="J432" s="6" t="str" cm="1">
        <f t="array" ref="J432">_xlfn.IFS(H432&gt;200000,"2 Lakhs +",H432&gt;=100000,"1-2 Lakhs",H432&lt;100000,"Below 1 Lakhs")</f>
        <v>2 Lakhs +</v>
      </c>
    </row>
    <row r="433" spans="1:10" x14ac:dyDescent="0.25">
      <c r="A433" s="12">
        <v>432</v>
      </c>
      <c r="B433" s="6">
        <v>7435</v>
      </c>
      <c r="C433" s="12">
        <v>49</v>
      </c>
      <c r="D433" s="6" t="s">
        <v>8</v>
      </c>
      <c r="E433" s="6" t="s">
        <v>316</v>
      </c>
      <c r="F433" s="10">
        <v>44346</v>
      </c>
      <c r="G433" s="12">
        <v>24</v>
      </c>
      <c r="H433" s="8">
        <v>191755</v>
      </c>
      <c r="I433" s="6" t="str" cm="1">
        <f t="array" ref="I433">_xlfn.IFS(C433&gt;50,"50+",C433&gt;=30,"30-50",C433&lt;30,"Under 30")</f>
        <v>30-50</v>
      </c>
      <c r="J433" s="6" t="str" cm="1">
        <f t="array" ref="J433">_xlfn.IFS(H433&gt;200000,"2 Lakhs +",H433&gt;=100000,"1-2 Lakhs",H433&lt;100000,"Below 1 Lakhs")</f>
        <v>1-2 Lakhs</v>
      </c>
    </row>
    <row r="434" spans="1:10" x14ac:dyDescent="0.25">
      <c r="A434" s="12">
        <v>433</v>
      </c>
      <c r="B434" s="6">
        <v>2002</v>
      </c>
      <c r="C434" s="12">
        <v>27</v>
      </c>
      <c r="D434" s="6" t="s">
        <v>10</v>
      </c>
      <c r="E434" s="6" t="s">
        <v>317</v>
      </c>
      <c r="F434" s="10">
        <v>28895</v>
      </c>
      <c r="G434" s="12">
        <v>15</v>
      </c>
      <c r="H434" s="8">
        <v>125131</v>
      </c>
      <c r="I434" s="6" t="str" cm="1">
        <f t="array" ref="I434">_xlfn.IFS(C434&gt;50,"50+",C434&gt;=30,"30-50",C434&lt;30,"Under 30")</f>
        <v>Under 30</v>
      </c>
      <c r="J434" s="6" t="str" cm="1">
        <f t="array" ref="J434">_xlfn.IFS(H434&gt;200000,"2 Lakhs +",H434&gt;=100000,"1-2 Lakhs",H434&lt;100000,"Below 1 Lakhs")</f>
        <v>1-2 Lakhs</v>
      </c>
    </row>
    <row r="435" spans="1:10" x14ac:dyDescent="0.25">
      <c r="A435" s="12">
        <v>434</v>
      </c>
      <c r="B435" s="6">
        <v>5880</v>
      </c>
      <c r="C435" s="12">
        <v>42</v>
      </c>
      <c r="D435" s="6" t="s">
        <v>10</v>
      </c>
      <c r="E435" s="6" t="s">
        <v>316</v>
      </c>
      <c r="F435" s="10">
        <v>28684</v>
      </c>
      <c r="G435" s="12">
        <v>21</v>
      </c>
      <c r="H435" s="8">
        <v>164265</v>
      </c>
      <c r="I435" s="6" t="str" cm="1">
        <f t="array" ref="I435">_xlfn.IFS(C435&gt;50,"50+",C435&gt;=30,"30-50",C435&lt;30,"Under 30")</f>
        <v>30-50</v>
      </c>
      <c r="J435" s="6" t="str" cm="1">
        <f t="array" ref="J435">_xlfn.IFS(H435&gt;200000,"2 Lakhs +",H435&gt;=100000,"1-2 Lakhs",H435&lt;100000,"Below 1 Lakhs")</f>
        <v>1-2 Lakhs</v>
      </c>
    </row>
    <row r="436" spans="1:10" x14ac:dyDescent="0.25">
      <c r="A436" s="12">
        <v>435</v>
      </c>
      <c r="B436" s="6">
        <v>4796</v>
      </c>
      <c r="C436" s="12">
        <v>28</v>
      </c>
      <c r="D436" s="6" t="s">
        <v>10</v>
      </c>
      <c r="E436" s="6" t="s">
        <v>316</v>
      </c>
      <c r="F436" s="10">
        <v>43273</v>
      </c>
      <c r="G436" s="12">
        <v>15</v>
      </c>
      <c r="H436" s="8">
        <v>109701</v>
      </c>
      <c r="I436" s="6" t="str" cm="1">
        <f t="array" ref="I436">_xlfn.IFS(C436&gt;50,"50+",C436&gt;=30,"30-50",C436&lt;30,"Under 30")</f>
        <v>Under 30</v>
      </c>
      <c r="J436" s="6" t="str" cm="1">
        <f t="array" ref="J436">_xlfn.IFS(H436&gt;200000,"2 Lakhs +",H436&gt;=100000,"1-2 Lakhs",H436&lt;100000,"Below 1 Lakhs")</f>
        <v>1-2 Lakhs</v>
      </c>
    </row>
    <row r="437" spans="1:10" x14ac:dyDescent="0.25">
      <c r="A437" s="12">
        <v>436</v>
      </c>
      <c r="B437" s="6">
        <v>7768</v>
      </c>
      <c r="C437" s="12">
        <v>53</v>
      </c>
      <c r="D437" s="6" t="s">
        <v>10</v>
      </c>
      <c r="E437" s="6" t="s">
        <v>316</v>
      </c>
      <c r="F437" s="10">
        <v>36352</v>
      </c>
      <c r="G437" s="12">
        <v>29</v>
      </c>
      <c r="H437" s="8">
        <v>238477</v>
      </c>
      <c r="I437" s="6" t="str" cm="1">
        <f t="array" ref="I437">_xlfn.IFS(C437&gt;50,"50+",C437&gt;=30,"30-50",C437&lt;30,"Under 30")</f>
        <v>50+</v>
      </c>
      <c r="J437" s="6" t="str" cm="1">
        <f t="array" ref="J437">_xlfn.IFS(H437&gt;200000,"2 Lakhs +",H437&gt;=100000,"1-2 Lakhs",H437&lt;100000,"Below 1 Lakhs")</f>
        <v>2 Lakhs +</v>
      </c>
    </row>
    <row r="438" spans="1:10" x14ac:dyDescent="0.25">
      <c r="A438" s="12">
        <v>437</v>
      </c>
      <c r="B438" s="6">
        <v>4407</v>
      </c>
      <c r="C438" s="12">
        <v>48</v>
      </c>
      <c r="D438" s="6" t="s">
        <v>13</v>
      </c>
      <c r="E438" s="6" t="s">
        <v>316</v>
      </c>
      <c r="F438" s="10">
        <v>26090</v>
      </c>
      <c r="G438" s="12">
        <v>24</v>
      </c>
      <c r="H438" s="8">
        <v>193938</v>
      </c>
      <c r="I438" s="6" t="str" cm="1">
        <f t="array" ref="I438">_xlfn.IFS(C438&gt;50,"50+",C438&gt;=30,"30-50",C438&lt;30,"Under 30")</f>
        <v>30-50</v>
      </c>
      <c r="J438" s="6" t="str" cm="1">
        <f t="array" ref="J438">_xlfn.IFS(H438&gt;200000,"2 Lakhs +",H438&gt;=100000,"1-2 Lakhs",H438&lt;100000,"Below 1 Lakhs")</f>
        <v>1-2 Lakhs</v>
      </c>
    </row>
    <row r="439" spans="1:10" x14ac:dyDescent="0.25">
      <c r="A439" s="12">
        <v>438</v>
      </c>
      <c r="B439" s="6">
        <v>4747</v>
      </c>
      <c r="C439" s="12">
        <v>49</v>
      </c>
      <c r="D439" s="6" t="s">
        <v>11</v>
      </c>
      <c r="E439" s="6" t="s">
        <v>316</v>
      </c>
      <c r="F439" s="10">
        <v>31380</v>
      </c>
      <c r="G439" s="12">
        <v>20</v>
      </c>
      <c r="H439" s="8">
        <v>156976</v>
      </c>
      <c r="I439" s="6" t="str" cm="1">
        <f t="array" ref="I439">_xlfn.IFS(C439&gt;50,"50+",C439&gt;=30,"30-50",C439&lt;30,"Under 30")</f>
        <v>30-50</v>
      </c>
      <c r="J439" s="6" t="str" cm="1">
        <f t="array" ref="J439">_xlfn.IFS(H439&gt;200000,"2 Lakhs +",H439&gt;=100000,"1-2 Lakhs",H439&lt;100000,"Below 1 Lakhs")</f>
        <v>1-2 Lakhs</v>
      </c>
    </row>
    <row r="440" spans="1:10" x14ac:dyDescent="0.25">
      <c r="A440" s="12">
        <v>439</v>
      </c>
      <c r="B440" s="6">
        <v>9893</v>
      </c>
      <c r="C440" s="12">
        <v>54</v>
      </c>
      <c r="D440" s="6" t="s">
        <v>10</v>
      </c>
      <c r="E440" s="6" t="s">
        <v>316</v>
      </c>
      <c r="F440" s="10">
        <v>26556</v>
      </c>
      <c r="G440" s="12">
        <v>29</v>
      </c>
      <c r="H440" s="8">
        <v>229200</v>
      </c>
      <c r="I440" s="6" t="str" cm="1">
        <f t="array" ref="I440">_xlfn.IFS(C440&gt;50,"50+",C440&gt;=30,"30-50",C440&lt;30,"Under 30")</f>
        <v>50+</v>
      </c>
      <c r="J440" s="6" t="str" cm="1">
        <f t="array" ref="J440">_xlfn.IFS(H440&gt;200000,"2 Lakhs +",H440&gt;=100000,"1-2 Lakhs",H440&lt;100000,"Below 1 Lakhs")</f>
        <v>2 Lakhs +</v>
      </c>
    </row>
    <row r="441" spans="1:10" x14ac:dyDescent="0.25">
      <c r="A441" s="12">
        <v>440</v>
      </c>
      <c r="B441" s="6">
        <v>1779</v>
      </c>
      <c r="C441" s="12">
        <v>47</v>
      </c>
      <c r="D441" s="6" t="s">
        <v>10</v>
      </c>
      <c r="E441" s="6" t="s">
        <v>316</v>
      </c>
      <c r="F441" s="10">
        <v>34147</v>
      </c>
      <c r="G441" s="12">
        <v>24</v>
      </c>
      <c r="H441" s="8">
        <v>194985</v>
      </c>
      <c r="I441" s="6" t="str" cm="1">
        <f t="array" ref="I441">_xlfn.IFS(C441&gt;50,"50+",C441&gt;=30,"30-50",C441&lt;30,"Under 30")</f>
        <v>30-50</v>
      </c>
      <c r="J441" s="6" t="str" cm="1">
        <f t="array" ref="J441">_xlfn.IFS(H441&gt;200000,"2 Lakhs +",H441&gt;=100000,"1-2 Lakhs",H441&lt;100000,"Below 1 Lakhs")</f>
        <v>1-2 Lakhs</v>
      </c>
    </row>
    <row r="442" spans="1:10" x14ac:dyDescent="0.25">
      <c r="A442" s="12">
        <v>441</v>
      </c>
      <c r="B442" s="6">
        <v>3531</v>
      </c>
      <c r="C442" s="12">
        <v>40</v>
      </c>
      <c r="D442" s="6" t="s">
        <v>13</v>
      </c>
      <c r="E442" s="6" t="s">
        <v>317</v>
      </c>
      <c r="F442" s="10">
        <v>26725</v>
      </c>
      <c r="G442" s="12">
        <v>19</v>
      </c>
      <c r="H442" s="8">
        <v>150665</v>
      </c>
      <c r="I442" s="6" t="str" cm="1">
        <f t="array" ref="I442">_xlfn.IFS(C442&gt;50,"50+",C442&gt;=30,"30-50",C442&lt;30,"Under 30")</f>
        <v>30-50</v>
      </c>
      <c r="J442" s="6" t="str" cm="1">
        <f t="array" ref="J442">_xlfn.IFS(H442&gt;200000,"2 Lakhs +",H442&gt;=100000,"1-2 Lakhs",H442&lt;100000,"Below 1 Lakhs")</f>
        <v>1-2 Lakhs</v>
      </c>
    </row>
    <row r="443" spans="1:10" x14ac:dyDescent="0.25">
      <c r="A443" s="12">
        <v>442</v>
      </c>
      <c r="B443" s="6">
        <v>9943</v>
      </c>
      <c r="C443" s="12">
        <v>45</v>
      </c>
      <c r="D443" s="6" t="s">
        <v>11</v>
      </c>
      <c r="E443" s="6" t="s">
        <v>316</v>
      </c>
      <c r="F443" s="10">
        <v>30111</v>
      </c>
      <c r="G443" s="12">
        <v>22</v>
      </c>
      <c r="H443" s="8">
        <v>187991</v>
      </c>
      <c r="I443" s="6" t="str" cm="1">
        <f t="array" ref="I443">_xlfn.IFS(C443&gt;50,"50+",C443&gt;=30,"30-50",C443&lt;30,"Under 30")</f>
        <v>30-50</v>
      </c>
      <c r="J443" s="6" t="str" cm="1">
        <f t="array" ref="J443">_xlfn.IFS(H443&gt;200000,"2 Lakhs +",H443&gt;=100000,"1-2 Lakhs",H443&lt;100000,"Below 1 Lakhs")</f>
        <v>1-2 Lakhs</v>
      </c>
    </row>
    <row r="444" spans="1:10" x14ac:dyDescent="0.25">
      <c r="A444" s="12">
        <v>443</v>
      </c>
      <c r="B444" s="6">
        <v>6308</v>
      </c>
      <c r="C444" s="12">
        <v>55</v>
      </c>
      <c r="D444" s="6" t="s">
        <v>11</v>
      </c>
      <c r="E444" s="6" t="s">
        <v>316</v>
      </c>
      <c r="F444" s="10">
        <v>41218</v>
      </c>
      <c r="G444" s="12">
        <v>26</v>
      </c>
      <c r="H444" s="8">
        <v>202446</v>
      </c>
      <c r="I444" s="6" t="str" cm="1">
        <f t="array" ref="I444">_xlfn.IFS(C444&gt;50,"50+",C444&gt;=30,"30-50",C444&lt;30,"Under 30")</f>
        <v>50+</v>
      </c>
      <c r="J444" s="6" t="str" cm="1">
        <f t="array" ref="J444">_xlfn.IFS(H444&gt;200000,"2 Lakhs +",H444&gt;=100000,"1-2 Lakhs",H444&lt;100000,"Below 1 Lakhs")</f>
        <v>2 Lakhs +</v>
      </c>
    </row>
    <row r="445" spans="1:10" x14ac:dyDescent="0.25">
      <c r="A445" s="12">
        <v>444</v>
      </c>
      <c r="B445" s="6">
        <v>4784</v>
      </c>
      <c r="C445" s="12">
        <v>55</v>
      </c>
      <c r="D445" s="6" t="s">
        <v>8</v>
      </c>
      <c r="E445" s="6" t="s">
        <v>317</v>
      </c>
      <c r="F445" s="10">
        <v>43451</v>
      </c>
      <c r="G445" s="12">
        <v>25</v>
      </c>
      <c r="H445" s="8">
        <v>203933</v>
      </c>
      <c r="I445" s="6" t="str" cm="1">
        <f t="array" ref="I445">_xlfn.IFS(C445&gt;50,"50+",C445&gt;=30,"30-50",C445&lt;30,"Under 30")</f>
        <v>50+</v>
      </c>
      <c r="J445" s="6" t="str" cm="1">
        <f t="array" ref="J445">_xlfn.IFS(H445&gt;200000,"2 Lakhs +",H445&gt;=100000,"1-2 Lakhs",H445&lt;100000,"Below 1 Lakhs")</f>
        <v>2 Lakhs +</v>
      </c>
    </row>
    <row r="446" spans="1:10" x14ac:dyDescent="0.25">
      <c r="A446" s="12">
        <v>445</v>
      </c>
      <c r="B446" s="6">
        <v>8665</v>
      </c>
      <c r="C446" s="12">
        <v>59</v>
      </c>
      <c r="D446" s="6" t="s">
        <v>10</v>
      </c>
      <c r="E446" s="6" t="s">
        <v>317</v>
      </c>
      <c r="F446" s="10">
        <v>36814</v>
      </c>
      <c r="G446" s="12">
        <v>29</v>
      </c>
      <c r="H446" s="8">
        <v>234277</v>
      </c>
      <c r="I446" s="6" t="str" cm="1">
        <f t="array" ref="I446">_xlfn.IFS(C446&gt;50,"50+",C446&gt;=30,"30-50",C446&lt;30,"Under 30")</f>
        <v>50+</v>
      </c>
      <c r="J446" s="6" t="str" cm="1">
        <f t="array" ref="J446">_xlfn.IFS(H446&gt;200000,"2 Lakhs +",H446&gt;=100000,"1-2 Lakhs",H446&lt;100000,"Below 1 Lakhs")</f>
        <v>2 Lakhs +</v>
      </c>
    </row>
    <row r="447" spans="1:10" x14ac:dyDescent="0.25">
      <c r="A447" s="12">
        <v>446</v>
      </c>
      <c r="B447" s="6">
        <v>8492</v>
      </c>
      <c r="C447" s="12">
        <v>54</v>
      </c>
      <c r="D447" s="6" t="s">
        <v>13</v>
      </c>
      <c r="E447" s="6" t="s">
        <v>317</v>
      </c>
      <c r="F447" s="10">
        <v>26443</v>
      </c>
      <c r="G447" s="12">
        <v>28</v>
      </c>
      <c r="H447" s="8">
        <v>225715</v>
      </c>
      <c r="I447" s="6" t="str" cm="1">
        <f t="array" ref="I447">_xlfn.IFS(C447&gt;50,"50+",C447&gt;=30,"30-50",C447&lt;30,"Under 30")</f>
        <v>50+</v>
      </c>
      <c r="J447" s="6" t="str" cm="1">
        <f t="array" ref="J447">_xlfn.IFS(H447&gt;200000,"2 Lakhs +",H447&gt;=100000,"1-2 Lakhs",H447&lt;100000,"Below 1 Lakhs")</f>
        <v>2 Lakhs +</v>
      </c>
    </row>
    <row r="448" spans="1:10" x14ac:dyDescent="0.25">
      <c r="A448" s="12">
        <v>447</v>
      </c>
      <c r="B448" s="6">
        <v>2639</v>
      </c>
      <c r="C448" s="12">
        <v>24</v>
      </c>
      <c r="D448" s="6" t="s">
        <v>13</v>
      </c>
      <c r="E448" s="6" t="s">
        <v>316</v>
      </c>
      <c r="F448" s="10">
        <v>35453</v>
      </c>
      <c r="G448" s="12">
        <v>10</v>
      </c>
      <c r="H448" s="8">
        <v>75812</v>
      </c>
      <c r="I448" s="6" t="str" cm="1">
        <f t="array" ref="I448">_xlfn.IFS(C448&gt;50,"50+",C448&gt;=30,"30-50",C448&lt;30,"Under 30")</f>
        <v>Under 30</v>
      </c>
      <c r="J448" s="6" t="str" cm="1">
        <f t="array" ref="J448">_xlfn.IFS(H448&gt;200000,"2 Lakhs +",H448&gt;=100000,"1-2 Lakhs",H448&lt;100000,"Below 1 Lakhs")</f>
        <v>Below 1 Lakhs</v>
      </c>
    </row>
    <row r="449" spans="1:10" x14ac:dyDescent="0.25">
      <c r="A449" s="12">
        <v>448</v>
      </c>
      <c r="B449" s="6">
        <v>3328</v>
      </c>
      <c r="C449" s="12">
        <v>24</v>
      </c>
      <c r="D449" s="6" t="s">
        <v>10</v>
      </c>
      <c r="E449" s="6" t="s">
        <v>317</v>
      </c>
      <c r="F449" s="10">
        <v>32021</v>
      </c>
      <c r="G449" s="12">
        <v>8</v>
      </c>
      <c r="H449" s="8">
        <v>68134</v>
      </c>
      <c r="I449" s="6" t="str" cm="1">
        <f t="array" ref="I449">_xlfn.IFS(C449&gt;50,"50+",C449&gt;=30,"30-50",C449&lt;30,"Under 30")</f>
        <v>Under 30</v>
      </c>
      <c r="J449" s="6" t="str" cm="1">
        <f t="array" ref="J449">_xlfn.IFS(H449&gt;200000,"2 Lakhs +",H449&gt;=100000,"1-2 Lakhs",H449&lt;100000,"Below 1 Lakhs")</f>
        <v>Below 1 Lakhs</v>
      </c>
    </row>
    <row r="450" spans="1:10" x14ac:dyDescent="0.25">
      <c r="A450" s="12">
        <v>449</v>
      </c>
      <c r="B450" s="6">
        <v>3255</v>
      </c>
      <c r="C450" s="12">
        <v>48</v>
      </c>
      <c r="D450" s="6" t="s">
        <v>8</v>
      </c>
      <c r="E450" s="6" t="s">
        <v>316</v>
      </c>
      <c r="F450" s="10">
        <v>35729</v>
      </c>
      <c r="G450" s="12">
        <v>20</v>
      </c>
      <c r="H450" s="8">
        <v>155985</v>
      </c>
      <c r="I450" s="6" t="str" cm="1">
        <f t="array" ref="I450">_xlfn.IFS(C450&gt;50,"50+",C450&gt;=30,"30-50",C450&lt;30,"Under 30")</f>
        <v>30-50</v>
      </c>
      <c r="J450" s="6" t="str" cm="1">
        <f t="array" ref="J450">_xlfn.IFS(H450&gt;200000,"2 Lakhs +",H450&gt;=100000,"1-2 Lakhs",H450&lt;100000,"Below 1 Lakhs")</f>
        <v>1-2 Lakhs</v>
      </c>
    </row>
    <row r="451" spans="1:10" x14ac:dyDescent="0.25">
      <c r="A451" s="12">
        <v>450</v>
      </c>
      <c r="B451" s="6">
        <v>4651</v>
      </c>
      <c r="C451" s="12">
        <v>50</v>
      </c>
      <c r="D451" s="6" t="s">
        <v>8</v>
      </c>
      <c r="E451" s="6" t="s">
        <v>317</v>
      </c>
      <c r="F451" s="10">
        <v>37779</v>
      </c>
      <c r="G451" s="12">
        <v>27</v>
      </c>
      <c r="H451" s="8">
        <v>222685</v>
      </c>
      <c r="I451" s="6" t="str" cm="1">
        <f t="array" ref="I451">_xlfn.IFS(C451&gt;50,"50+",C451&gt;=30,"30-50",C451&lt;30,"Under 30")</f>
        <v>30-50</v>
      </c>
      <c r="J451" s="6" t="str" cm="1">
        <f t="array" ref="J451">_xlfn.IFS(H451&gt;200000,"2 Lakhs +",H451&gt;=100000,"1-2 Lakhs",H451&lt;100000,"Below 1 Lakhs")</f>
        <v>2 Lakhs +</v>
      </c>
    </row>
    <row r="452" spans="1:10" x14ac:dyDescent="0.25">
      <c r="A452" s="12">
        <v>451</v>
      </c>
      <c r="B452" s="6">
        <v>6391</v>
      </c>
      <c r="C452" s="12">
        <v>49</v>
      </c>
      <c r="D452" s="6" t="s">
        <v>10</v>
      </c>
      <c r="E452" s="6" t="s">
        <v>316</v>
      </c>
      <c r="F452" s="10">
        <v>38217</v>
      </c>
      <c r="G452" s="12">
        <v>28</v>
      </c>
      <c r="H452" s="8">
        <v>220500</v>
      </c>
      <c r="I452" s="6" t="str" cm="1">
        <f t="array" ref="I452">_xlfn.IFS(C452&gt;50,"50+",C452&gt;=30,"30-50",C452&lt;30,"Under 30")</f>
        <v>30-50</v>
      </c>
      <c r="J452" s="6" t="str" cm="1">
        <f t="array" ref="J452">_xlfn.IFS(H452&gt;200000,"2 Lakhs +",H452&gt;=100000,"1-2 Lakhs",H452&lt;100000,"Below 1 Lakhs")</f>
        <v>2 Lakhs +</v>
      </c>
    </row>
    <row r="453" spans="1:10" x14ac:dyDescent="0.25">
      <c r="A453" s="12">
        <v>452</v>
      </c>
      <c r="B453" s="6">
        <v>9655</v>
      </c>
      <c r="C453" s="12">
        <v>31</v>
      </c>
      <c r="D453" s="6" t="s">
        <v>8</v>
      </c>
      <c r="E453" s="6" t="s">
        <v>317</v>
      </c>
      <c r="F453" s="10">
        <v>39247</v>
      </c>
      <c r="G453" s="12">
        <v>15</v>
      </c>
      <c r="H453" s="8">
        <v>126388</v>
      </c>
      <c r="I453" s="6" t="str" cm="1">
        <f t="array" ref="I453">_xlfn.IFS(C453&gt;50,"50+",C453&gt;=30,"30-50",C453&lt;30,"Under 30")</f>
        <v>30-50</v>
      </c>
      <c r="J453" s="6" t="str" cm="1">
        <f t="array" ref="J453">_xlfn.IFS(H453&gt;200000,"2 Lakhs +",H453&gt;=100000,"1-2 Lakhs",H453&lt;100000,"Below 1 Lakhs")</f>
        <v>1-2 Lakhs</v>
      </c>
    </row>
    <row r="454" spans="1:10" x14ac:dyDescent="0.25">
      <c r="A454" s="12">
        <v>453</v>
      </c>
      <c r="B454" s="6">
        <v>6856</v>
      </c>
      <c r="C454" s="12">
        <v>37</v>
      </c>
      <c r="D454" s="6" t="s">
        <v>10</v>
      </c>
      <c r="E454" s="6" t="s">
        <v>317</v>
      </c>
      <c r="F454" s="10">
        <v>39761</v>
      </c>
      <c r="G454" s="12">
        <v>21</v>
      </c>
      <c r="H454" s="8">
        <v>169212</v>
      </c>
      <c r="I454" s="6" t="str" cm="1">
        <f t="array" ref="I454">_xlfn.IFS(C454&gt;50,"50+",C454&gt;=30,"30-50",C454&lt;30,"Under 30")</f>
        <v>30-50</v>
      </c>
      <c r="J454" s="6" t="str" cm="1">
        <f t="array" ref="J454">_xlfn.IFS(H454&gt;200000,"2 Lakhs +",H454&gt;=100000,"1-2 Lakhs",H454&lt;100000,"Below 1 Lakhs")</f>
        <v>1-2 Lakhs</v>
      </c>
    </row>
    <row r="455" spans="1:10" x14ac:dyDescent="0.25">
      <c r="A455" s="12">
        <v>454</v>
      </c>
      <c r="B455" s="6">
        <v>7141</v>
      </c>
      <c r="C455" s="12">
        <v>45</v>
      </c>
      <c r="D455" s="6" t="s">
        <v>13</v>
      </c>
      <c r="E455" s="6" t="s">
        <v>317</v>
      </c>
      <c r="F455" s="10">
        <v>38945</v>
      </c>
      <c r="G455" s="12">
        <v>24</v>
      </c>
      <c r="H455" s="8">
        <v>186015</v>
      </c>
      <c r="I455" s="6" t="str" cm="1">
        <f t="array" ref="I455">_xlfn.IFS(C455&gt;50,"50+",C455&gt;=30,"30-50",C455&lt;30,"Under 30")</f>
        <v>30-50</v>
      </c>
      <c r="J455" s="6" t="str" cm="1">
        <f t="array" ref="J455">_xlfn.IFS(H455&gt;200000,"2 Lakhs +",H455&gt;=100000,"1-2 Lakhs",H455&lt;100000,"Below 1 Lakhs")</f>
        <v>1-2 Lakhs</v>
      </c>
    </row>
    <row r="456" spans="1:10" x14ac:dyDescent="0.25">
      <c r="A456" s="12">
        <v>455</v>
      </c>
      <c r="B456" s="6">
        <v>2259</v>
      </c>
      <c r="C456" s="12">
        <v>52</v>
      </c>
      <c r="D456" s="6" t="s">
        <v>8</v>
      </c>
      <c r="E456" s="6" t="s">
        <v>317</v>
      </c>
      <c r="F456" s="10">
        <v>44622</v>
      </c>
      <c r="G456" s="12">
        <v>27</v>
      </c>
      <c r="H456" s="8">
        <v>217544</v>
      </c>
      <c r="I456" s="6" t="str" cm="1">
        <f t="array" ref="I456">_xlfn.IFS(C456&gt;50,"50+",C456&gt;=30,"30-50",C456&lt;30,"Under 30")</f>
        <v>50+</v>
      </c>
      <c r="J456" s="6" t="str" cm="1">
        <f t="array" ref="J456">_xlfn.IFS(H456&gt;200000,"2 Lakhs +",H456&gt;=100000,"1-2 Lakhs",H456&lt;100000,"Below 1 Lakhs")</f>
        <v>2 Lakhs +</v>
      </c>
    </row>
    <row r="457" spans="1:10" x14ac:dyDescent="0.25">
      <c r="A457" s="12">
        <v>456</v>
      </c>
      <c r="B457" s="6">
        <v>5518</v>
      </c>
      <c r="C457" s="12">
        <v>33</v>
      </c>
      <c r="D457" s="6" t="s">
        <v>11</v>
      </c>
      <c r="E457" s="6" t="s">
        <v>317</v>
      </c>
      <c r="F457" s="10">
        <v>44267</v>
      </c>
      <c r="G457" s="12">
        <v>17</v>
      </c>
      <c r="H457" s="8">
        <v>128767</v>
      </c>
      <c r="I457" s="6" t="str" cm="1">
        <f t="array" ref="I457">_xlfn.IFS(C457&gt;50,"50+",C457&gt;=30,"30-50",C457&lt;30,"Under 30")</f>
        <v>30-50</v>
      </c>
      <c r="J457" s="6" t="str" cm="1">
        <f t="array" ref="J457">_xlfn.IFS(H457&gt;200000,"2 Lakhs +",H457&gt;=100000,"1-2 Lakhs",H457&lt;100000,"Below 1 Lakhs")</f>
        <v>1-2 Lakhs</v>
      </c>
    </row>
    <row r="458" spans="1:10" x14ac:dyDescent="0.25">
      <c r="A458" s="12">
        <v>457</v>
      </c>
      <c r="B458" s="6">
        <v>5641</v>
      </c>
      <c r="C458" s="12">
        <v>60</v>
      </c>
      <c r="D458" s="6" t="s">
        <v>11</v>
      </c>
      <c r="E458" s="6" t="s">
        <v>316</v>
      </c>
      <c r="F458" s="10">
        <v>40770</v>
      </c>
      <c r="G458" s="12">
        <v>27</v>
      </c>
      <c r="H458" s="8">
        <v>216812</v>
      </c>
      <c r="I458" s="6" t="str" cm="1">
        <f t="array" ref="I458">_xlfn.IFS(C458&gt;50,"50+",C458&gt;=30,"30-50",C458&lt;30,"Under 30")</f>
        <v>50+</v>
      </c>
      <c r="J458" s="6" t="str" cm="1">
        <f t="array" ref="J458">_xlfn.IFS(H458&gt;200000,"2 Lakhs +",H458&gt;=100000,"1-2 Lakhs",H458&lt;100000,"Below 1 Lakhs")</f>
        <v>2 Lakhs +</v>
      </c>
    </row>
    <row r="459" spans="1:10" x14ac:dyDescent="0.25">
      <c r="A459" s="12">
        <v>458</v>
      </c>
      <c r="B459" s="6">
        <v>8734</v>
      </c>
      <c r="C459" s="12">
        <v>50</v>
      </c>
      <c r="D459" s="6" t="s">
        <v>13</v>
      </c>
      <c r="E459" s="6" t="s">
        <v>316</v>
      </c>
      <c r="F459" s="10">
        <v>45227</v>
      </c>
      <c r="G459" s="12">
        <v>21</v>
      </c>
      <c r="H459" s="8">
        <v>174984</v>
      </c>
      <c r="I459" s="6" t="str" cm="1">
        <f t="array" ref="I459">_xlfn.IFS(C459&gt;50,"50+",C459&gt;=30,"30-50",C459&lt;30,"Under 30")</f>
        <v>30-50</v>
      </c>
      <c r="J459" s="6" t="str" cm="1">
        <f t="array" ref="J459">_xlfn.IFS(H459&gt;200000,"2 Lakhs +",H459&gt;=100000,"1-2 Lakhs",H459&lt;100000,"Below 1 Lakhs")</f>
        <v>1-2 Lakhs</v>
      </c>
    </row>
    <row r="460" spans="1:10" x14ac:dyDescent="0.25">
      <c r="A460" s="12">
        <v>459</v>
      </c>
      <c r="B460" s="6">
        <v>7473</v>
      </c>
      <c r="C460" s="12">
        <v>49</v>
      </c>
      <c r="D460" s="6" t="s">
        <v>10</v>
      </c>
      <c r="E460" s="6" t="s">
        <v>317</v>
      </c>
      <c r="F460" s="10">
        <v>26908</v>
      </c>
      <c r="G460" s="12">
        <v>24</v>
      </c>
      <c r="H460" s="8">
        <v>192274</v>
      </c>
      <c r="I460" s="6" t="str" cm="1">
        <f t="array" ref="I460">_xlfn.IFS(C460&gt;50,"50+",C460&gt;=30,"30-50",C460&lt;30,"Under 30")</f>
        <v>30-50</v>
      </c>
      <c r="J460" s="6" t="str" cm="1">
        <f t="array" ref="J460">_xlfn.IFS(H460&gt;200000,"2 Lakhs +",H460&gt;=100000,"1-2 Lakhs",H460&lt;100000,"Below 1 Lakhs")</f>
        <v>1-2 Lakhs</v>
      </c>
    </row>
    <row r="461" spans="1:10" x14ac:dyDescent="0.25">
      <c r="A461" s="12">
        <v>460</v>
      </c>
      <c r="B461" s="6">
        <v>8293</v>
      </c>
      <c r="C461" s="12">
        <v>52</v>
      </c>
      <c r="D461" s="6" t="s">
        <v>17</v>
      </c>
      <c r="E461" s="6" t="s">
        <v>317</v>
      </c>
      <c r="F461" s="10">
        <v>44236</v>
      </c>
      <c r="G461" s="12">
        <v>28</v>
      </c>
      <c r="H461" s="8">
        <v>216683</v>
      </c>
      <c r="I461" s="6" t="str" cm="1">
        <f t="array" ref="I461">_xlfn.IFS(C461&gt;50,"50+",C461&gt;=30,"30-50",C461&lt;30,"Under 30")</f>
        <v>50+</v>
      </c>
      <c r="J461" s="6" t="str" cm="1">
        <f t="array" ref="J461">_xlfn.IFS(H461&gt;200000,"2 Lakhs +",H461&gt;=100000,"1-2 Lakhs",H461&lt;100000,"Below 1 Lakhs")</f>
        <v>2 Lakhs +</v>
      </c>
    </row>
    <row r="462" spans="1:10" x14ac:dyDescent="0.25">
      <c r="A462" s="12">
        <v>461</v>
      </c>
      <c r="B462" s="6">
        <v>1014</v>
      </c>
      <c r="C462" s="12">
        <v>51</v>
      </c>
      <c r="D462" s="6" t="s">
        <v>13</v>
      </c>
      <c r="E462" s="6" t="s">
        <v>316</v>
      </c>
      <c r="F462" s="10">
        <v>30822</v>
      </c>
      <c r="G462" s="12">
        <v>22</v>
      </c>
      <c r="H462" s="8">
        <v>184887</v>
      </c>
      <c r="I462" s="6" t="str" cm="1">
        <f t="array" ref="I462">_xlfn.IFS(C462&gt;50,"50+",C462&gt;=30,"30-50",C462&lt;30,"Under 30")</f>
        <v>50+</v>
      </c>
      <c r="J462" s="6" t="str" cm="1">
        <f t="array" ref="J462">_xlfn.IFS(H462&gt;200000,"2 Lakhs +",H462&gt;=100000,"1-2 Lakhs",H462&lt;100000,"Below 1 Lakhs")</f>
        <v>1-2 Lakhs</v>
      </c>
    </row>
    <row r="463" spans="1:10" x14ac:dyDescent="0.25">
      <c r="A463" s="12">
        <v>462</v>
      </c>
      <c r="B463" s="6">
        <v>4824</v>
      </c>
      <c r="C463" s="12">
        <v>42</v>
      </c>
      <c r="D463" s="6" t="s">
        <v>10</v>
      </c>
      <c r="E463" s="6" t="s">
        <v>317</v>
      </c>
      <c r="F463" s="10">
        <v>35023</v>
      </c>
      <c r="G463" s="12">
        <v>21</v>
      </c>
      <c r="H463" s="8">
        <v>160580</v>
      </c>
      <c r="I463" s="6" t="str" cm="1">
        <f t="array" ref="I463">_xlfn.IFS(C463&gt;50,"50+",C463&gt;=30,"30-50",C463&lt;30,"Under 30")</f>
        <v>30-50</v>
      </c>
      <c r="J463" s="6" t="str" cm="1">
        <f t="array" ref="J463">_xlfn.IFS(H463&gt;200000,"2 Lakhs +",H463&gt;=100000,"1-2 Lakhs",H463&lt;100000,"Below 1 Lakhs")</f>
        <v>1-2 Lakhs</v>
      </c>
    </row>
    <row r="464" spans="1:10" x14ac:dyDescent="0.25">
      <c r="A464" s="12">
        <v>463</v>
      </c>
      <c r="B464" s="6">
        <v>8260</v>
      </c>
      <c r="C464" s="12">
        <v>55</v>
      </c>
      <c r="D464" s="6" t="s">
        <v>11</v>
      </c>
      <c r="E464" s="6" t="s">
        <v>316</v>
      </c>
      <c r="F464" s="10">
        <v>36030</v>
      </c>
      <c r="G464" s="12">
        <v>30</v>
      </c>
      <c r="H464" s="8">
        <v>245031</v>
      </c>
      <c r="I464" s="6" t="str" cm="1">
        <f t="array" ref="I464">_xlfn.IFS(C464&gt;50,"50+",C464&gt;=30,"30-50",C464&lt;30,"Under 30")</f>
        <v>50+</v>
      </c>
      <c r="J464" s="6" t="str" cm="1">
        <f t="array" ref="J464">_xlfn.IFS(H464&gt;200000,"2 Lakhs +",H464&gt;=100000,"1-2 Lakhs",H464&lt;100000,"Below 1 Lakhs")</f>
        <v>2 Lakhs +</v>
      </c>
    </row>
    <row r="465" spans="1:10" x14ac:dyDescent="0.25">
      <c r="A465" s="12">
        <v>464</v>
      </c>
      <c r="B465" s="6">
        <v>8101</v>
      </c>
      <c r="C465" s="12">
        <v>52</v>
      </c>
      <c r="D465" s="6" t="s">
        <v>13</v>
      </c>
      <c r="E465" s="6" t="s">
        <v>317</v>
      </c>
      <c r="F465" s="10">
        <v>32226</v>
      </c>
      <c r="G465" s="12">
        <v>19</v>
      </c>
      <c r="H465" s="8">
        <v>148735</v>
      </c>
      <c r="I465" s="6" t="str" cm="1">
        <f t="array" ref="I465">_xlfn.IFS(C465&gt;50,"50+",C465&gt;=30,"30-50",C465&lt;30,"Under 30")</f>
        <v>50+</v>
      </c>
      <c r="J465" s="6" t="str" cm="1">
        <f t="array" ref="J465">_xlfn.IFS(H465&gt;200000,"2 Lakhs +",H465&gt;=100000,"1-2 Lakhs",H465&lt;100000,"Below 1 Lakhs")</f>
        <v>1-2 Lakhs</v>
      </c>
    </row>
    <row r="466" spans="1:10" x14ac:dyDescent="0.25">
      <c r="A466" s="12">
        <v>465</v>
      </c>
      <c r="B466" s="6">
        <v>1488</v>
      </c>
      <c r="C466" s="12">
        <v>44</v>
      </c>
      <c r="D466" s="6" t="s">
        <v>13</v>
      </c>
      <c r="E466" s="6" t="s">
        <v>317</v>
      </c>
      <c r="F466" s="10">
        <v>30126</v>
      </c>
      <c r="G466" s="12">
        <v>19</v>
      </c>
      <c r="H466" s="8">
        <v>150934</v>
      </c>
      <c r="I466" s="6" t="str" cm="1">
        <f t="array" ref="I466">_xlfn.IFS(C466&gt;50,"50+",C466&gt;=30,"30-50",C466&lt;30,"Under 30")</f>
        <v>30-50</v>
      </c>
      <c r="J466" s="6" t="str" cm="1">
        <f t="array" ref="J466">_xlfn.IFS(H466&gt;200000,"2 Lakhs +",H466&gt;=100000,"1-2 Lakhs",H466&lt;100000,"Below 1 Lakhs")</f>
        <v>1-2 Lakhs</v>
      </c>
    </row>
    <row r="467" spans="1:10" x14ac:dyDescent="0.25">
      <c r="A467" s="12">
        <v>466</v>
      </c>
      <c r="B467" s="6">
        <v>9373</v>
      </c>
      <c r="C467" s="12">
        <v>52</v>
      </c>
      <c r="D467" s="6" t="s">
        <v>11</v>
      </c>
      <c r="E467" s="6" t="s">
        <v>317</v>
      </c>
      <c r="F467" s="10">
        <v>36780</v>
      </c>
      <c r="G467" s="12">
        <v>31</v>
      </c>
      <c r="H467" s="8">
        <v>249071</v>
      </c>
      <c r="I467" s="6" t="str" cm="1">
        <f t="array" ref="I467">_xlfn.IFS(C467&gt;50,"50+",C467&gt;=30,"30-50",C467&lt;30,"Under 30")</f>
        <v>50+</v>
      </c>
      <c r="J467" s="6" t="str" cm="1">
        <f t="array" ref="J467">_xlfn.IFS(H467&gt;200000,"2 Lakhs +",H467&gt;=100000,"1-2 Lakhs",H467&lt;100000,"Below 1 Lakhs")</f>
        <v>2 Lakhs +</v>
      </c>
    </row>
    <row r="468" spans="1:10" x14ac:dyDescent="0.25">
      <c r="A468" s="12">
        <v>467</v>
      </c>
      <c r="B468" s="6">
        <v>2643</v>
      </c>
      <c r="C468" s="12">
        <v>53</v>
      </c>
      <c r="D468" s="6" t="s">
        <v>13</v>
      </c>
      <c r="E468" s="6" t="s">
        <v>316</v>
      </c>
      <c r="F468" s="10">
        <v>33270</v>
      </c>
      <c r="G468" s="12">
        <v>29</v>
      </c>
      <c r="H468" s="8">
        <v>235550</v>
      </c>
      <c r="I468" s="6" t="str" cm="1">
        <f t="array" ref="I468">_xlfn.IFS(C468&gt;50,"50+",C468&gt;=30,"30-50",C468&lt;30,"Under 30")</f>
        <v>50+</v>
      </c>
      <c r="J468" s="6" t="str" cm="1">
        <f t="array" ref="J468">_xlfn.IFS(H468&gt;200000,"2 Lakhs +",H468&gt;=100000,"1-2 Lakhs",H468&lt;100000,"Below 1 Lakhs")</f>
        <v>2 Lakhs +</v>
      </c>
    </row>
    <row r="469" spans="1:10" x14ac:dyDescent="0.25">
      <c r="A469" s="12">
        <v>468</v>
      </c>
      <c r="B469" s="6">
        <v>1498</v>
      </c>
      <c r="C469" s="12">
        <v>36</v>
      </c>
      <c r="D469" s="6" t="s">
        <v>10</v>
      </c>
      <c r="E469" s="6" t="s">
        <v>316</v>
      </c>
      <c r="F469" s="10">
        <v>31936</v>
      </c>
      <c r="G469" s="12">
        <v>19</v>
      </c>
      <c r="H469" s="8">
        <v>151124</v>
      </c>
      <c r="I469" s="6" t="str" cm="1">
        <f t="array" ref="I469">_xlfn.IFS(C469&gt;50,"50+",C469&gt;=30,"30-50",C469&lt;30,"Under 30")</f>
        <v>30-50</v>
      </c>
      <c r="J469" s="6" t="str" cm="1">
        <f t="array" ref="J469">_xlfn.IFS(H469&gt;200000,"2 Lakhs +",H469&gt;=100000,"1-2 Lakhs",H469&lt;100000,"Below 1 Lakhs")</f>
        <v>1-2 Lakhs</v>
      </c>
    </row>
    <row r="470" spans="1:10" x14ac:dyDescent="0.25">
      <c r="A470" s="12">
        <v>469</v>
      </c>
      <c r="B470" s="6">
        <v>1515</v>
      </c>
      <c r="C470" s="12">
        <v>39</v>
      </c>
      <c r="D470" s="6" t="s">
        <v>10</v>
      </c>
      <c r="E470" s="6" t="s">
        <v>316</v>
      </c>
      <c r="F470" s="10">
        <v>39364</v>
      </c>
      <c r="G470" s="12">
        <v>17</v>
      </c>
      <c r="H470" s="8">
        <v>140001</v>
      </c>
      <c r="I470" s="6" t="str" cm="1">
        <f t="array" ref="I470">_xlfn.IFS(C470&gt;50,"50+",C470&gt;=30,"30-50",C470&lt;30,"Under 30")</f>
        <v>30-50</v>
      </c>
      <c r="J470" s="6" t="str" cm="1">
        <f t="array" ref="J470">_xlfn.IFS(H470&gt;200000,"2 Lakhs +",H470&gt;=100000,"1-2 Lakhs",H470&lt;100000,"Below 1 Lakhs")</f>
        <v>1-2 Lakhs</v>
      </c>
    </row>
    <row r="471" spans="1:10" x14ac:dyDescent="0.25">
      <c r="A471" s="12">
        <v>470</v>
      </c>
      <c r="B471" s="6">
        <v>1919</v>
      </c>
      <c r="C471" s="12">
        <v>23</v>
      </c>
      <c r="D471" s="6" t="s">
        <v>13</v>
      </c>
      <c r="E471" s="6" t="s">
        <v>317</v>
      </c>
      <c r="F471" s="10">
        <v>31298</v>
      </c>
      <c r="G471" s="12">
        <v>10</v>
      </c>
      <c r="H471" s="8">
        <v>78834</v>
      </c>
      <c r="I471" s="6" t="str" cm="1">
        <f t="array" ref="I471">_xlfn.IFS(C471&gt;50,"50+",C471&gt;=30,"30-50",C471&lt;30,"Under 30")</f>
        <v>Under 30</v>
      </c>
      <c r="J471" s="6" t="str" cm="1">
        <f t="array" ref="J471">_xlfn.IFS(H471&gt;200000,"2 Lakhs +",H471&gt;=100000,"1-2 Lakhs",H471&lt;100000,"Below 1 Lakhs")</f>
        <v>Below 1 Lakhs</v>
      </c>
    </row>
    <row r="472" spans="1:10" x14ac:dyDescent="0.25">
      <c r="A472" s="12">
        <v>471</v>
      </c>
      <c r="B472" s="6">
        <v>4464</v>
      </c>
      <c r="C472" s="12">
        <v>27</v>
      </c>
      <c r="D472" s="6" t="s">
        <v>17</v>
      </c>
      <c r="E472" s="6" t="s">
        <v>317</v>
      </c>
      <c r="F472" s="10">
        <v>26061</v>
      </c>
      <c r="G472" s="12">
        <v>10</v>
      </c>
      <c r="H472" s="8">
        <v>82592</v>
      </c>
      <c r="I472" s="6" t="str" cm="1">
        <f t="array" ref="I472">_xlfn.IFS(C472&gt;50,"50+",C472&gt;=30,"30-50",C472&lt;30,"Under 30")</f>
        <v>Under 30</v>
      </c>
      <c r="J472" s="6" t="str" cm="1">
        <f t="array" ref="J472">_xlfn.IFS(H472&gt;200000,"2 Lakhs +",H472&gt;=100000,"1-2 Lakhs",H472&lt;100000,"Below 1 Lakhs")</f>
        <v>Below 1 Lakhs</v>
      </c>
    </row>
    <row r="473" spans="1:10" x14ac:dyDescent="0.25">
      <c r="A473" s="12">
        <v>472</v>
      </c>
      <c r="B473" s="6">
        <v>6062</v>
      </c>
      <c r="C473" s="12">
        <v>27</v>
      </c>
      <c r="D473" s="6" t="s">
        <v>13</v>
      </c>
      <c r="E473" s="6" t="s">
        <v>316</v>
      </c>
      <c r="F473" s="10">
        <v>28054</v>
      </c>
      <c r="G473" s="12">
        <v>14</v>
      </c>
      <c r="H473" s="8">
        <v>115688</v>
      </c>
      <c r="I473" s="6" t="str" cm="1">
        <f t="array" ref="I473">_xlfn.IFS(C473&gt;50,"50+",C473&gt;=30,"30-50",C473&lt;30,"Under 30")</f>
        <v>Under 30</v>
      </c>
      <c r="J473" s="6" t="str" cm="1">
        <f t="array" ref="J473">_xlfn.IFS(H473&gt;200000,"2 Lakhs +",H473&gt;=100000,"1-2 Lakhs",H473&lt;100000,"Below 1 Lakhs")</f>
        <v>1-2 Lakhs</v>
      </c>
    </row>
    <row r="474" spans="1:10" x14ac:dyDescent="0.25">
      <c r="A474" s="12">
        <v>473</v>
      </c>
      <c r="B474" s="6">
        <v>8609</v>
      </c>
      <c r="C474" s="12">
        <v>60</v>
      </c>
      <c r="D474" s="6" t="s">
        <v>10</v>
      </c>
      <c r="E474" s="6" t="s">
        <v>316</v>
      </c>
      <c r="F474" s="10">
        <v>37524</v>
      </c>
      <c r="G474" s="12">
        <v>33</v>
      </c>
      <c r="H474" s="8">
        <v>263818</v>
      </c>
      <c r="I474" s="6" t="str" cm="1">
        <f t="array" ref="I474">_xlfn.IFS(C474&gt;50,"50+",C474&gt;=30,"30-50",C474&lt;30,"Under 30")</f>
        <v>50+</v>
      </c>
      <c r="J474" s="6" t="str" cm="1">
        <f t="array" ref="J474">_xlfn.IFS(H474&gt;200000,"2 Lakhs +",H474&gt;=100000,"1-2 Lakhs",H474&lt;100000,"Below 1 Lakhs")</f>
        <v>2 Lakhs +</v>
      </c>
    </row>
    <row r="475" spans="1:10" x14ac:dyDescent="0.25">
      <c r="A475" s="12">
        <v>474</v>
      </c>
      <c r="B475" s="6">
        <v>3523</v>
      </c>
      <c r="C475" s="12">
        <v>45</v>
      </c>
      <c r="D475" s="6" t="s">
        <v>13</v>
      </c>
      <c r="E475" s="6" t="s">
        <v>316</v>
      </c>
      <c r="F475" s="10">
        <v>28649</v>
      </c>
      <c r="G475" s="12">
        <v>23</v>
      </c>
      <c r="H475" s="8">
        <v>178139</v>
      </c>
      <c r="I475" s="6" t="str" cm="1">
        <f t="array" ref="I475">_xlfn.IFS(C475&gt;50,"50+",C475&gt;=30,"30-50",C475&lt;30,"Under 30")</f>
        <v>30-50</v>
      </c>
      <c r="J475" s="6" t="str" cm="1">
        <f t="array" ref="J475">_xlfn.IFS(H475&gt;200000,"2 Lakhs +",H475&gt;=100000,"1-2 Lakhs",H475&lt;100000,"Below 1 Lakhs")</f>
        <v>1-2 Lakhs</v>
      </c>
    </row>
    <row r="476" spans="1:10" x14ac:dyDescent="0.25">
      <c r="A476" s="12">
        <v>475</v>
      </c>
      <c r="B476" s="6">
        <v>7576</v>
      </c>
      <c r="C476" s="12">
        <v>48</v>
      </c>
      <c r="D476" s="6" t="s">
        <v>10</v>
      </c>
      <c r="E476" s="6" t="s">
        <v>317</v>
      </c>
      <c r="F476" s="10">
        <v>38946</v>
      </c>
      <c r="G476" s="12">
        <v>24</v>
      </c>
      <c r="H476" s="8">
        <v>194575</v>
      </c>
      <c r="I476" s="6" t="str" cm="1">
        <f t="array" ref="I476">_xlfn.IFS(C476&gt;50,"50+",C476&gt;=30,"30-50",C476&lt;30,"Under 30")</f>
        <v>30-50</v>
      </c>
      <c r="J476" s="6" t="str" cm="1">
        <f t="array" ref="J476">_xlfn.IFS(H476&gt;200000,"2 Lakhs +",H476&gt;=100000,"1-2 Lakhs",H476&lt;100000,"Below 1 Lakhs")</f>
        <v>1-2 Lakhs</v>
      </c>
    </row>
    <row r="477" spans="1:10" x14ac:dyDescent="0.25">
      <c r="A477" s="12">
        <v>476</v>
      </c>
      <c r="B477" s="6">
        <v>9175</v>
      </c>
      <c r="C477" s="12">
        <v>44</v>
      </c>
      <c r="D477" s="6" t="s">
        <v>10</v>
      </c>
      <c r="E477" s="6" t="s">
        <v>317</v>
      </c>
      <c r="F477" s="10">
        <v>27142</v>
      </c>
      <c r="G477" s="12">
        <v>27</v>
      </c>
      <c r="H477" s="8">
        <v>213467</v>
      </c>
      <c r="I477" s="6" t="str" cm="1">
        <f t="array" ref="I477">_xlfn.IFS(C477&gt;50,"50+",C477&gt;=30,"30-50",C477&lt;30,"Under 30")</f>
        <v>30-50</v>
      </c>
      <c r="J477" s="6" t="str" cm="1">
        <f t="array" ref="J477">_xlfn.IFS(H477&gt;200000,"2 Lakhs +",H477&gt;=100000,"1-2 Lakhs",H477&lt;100000,"Below 1 Lakhs")</f>
        <v>2 Lakhs +</v>
      </c>
    </row>
    <row r="478" spans="1:10" x14ac:dyDescent="0.25">
      <c r="A478" s="12">
        <v>477</v>
      </c>
      <c r="B478" s="6">
        <v>4299</v>
      </c>
      <c r="C478" s="12">
        <v>43</v>
      </c>
      <c r="D478" s="6" t="s">
        <v>10</v>
      </c>
      <c r="E478" s="6" t="s">
        <v>317</v>
      </c>
      <c r="F478" s="10">
        <v>45803</v>
      </c>
      <c r="G478" s="12">
        <v>19</v>
      </c>
      <c r="H478" s="8">
        <v>155006</v>
      </c>
      <c r="I478" s="6" t="str" cm="1">
        <f t="array" ref="I478">_xlfn.IFS(C478&gt;50,"50+",C478&gt;=30,"30-50",C478&lt;30,"Under 30")</f>
        <v>30-50</v>
      </c>
      <c r="J478" s="6" t="str" cm="1">
        <f t="array" ref="J478">_xlfn.IFS(H478&gt;200000,"2 Lakhs +",H478&gt;=100000,"1-2 Lakhs",H478&lt;100000,"Below 1 Lakhs")</f>
        <v>1-2 Lakhs</v>
      </c>
    </row>
    <row r="479" spans="1:10" x14ac:dyDescent="0.25">
      <c r="A479" s="12">
        <v>478</v>
      </c>
      <c r="B479" s="6">
        <v>1747</v>
      </c>
      <c r="C479" s="12">
        <v>51</v>
      </c>
      <c r="D479" s="6" t="s">
        <v>11</v>
      </c>
      <c r="E479" s="6" t="s">
        <v>317</v>
      </c>
      <c r="F479" s="10">
        <v>31744</v>
      </c>
      <c r="G479" s="12">
        <v>24</v>
      </c>
      <c r="H479" s="8">
        <v>192646</v>
      </c>
      <c r="I479" s="6" t="str" cm="1">
        <f t="array" ref="I479">_xlfn.IFS(C479&gt;50,"50+",C479&gt;=30,"30-50",C479&lt;30,"Under 30")</f>
        <v>50+</v>
      </c>
      <c r="J479" s="6" t="str" cm="1">
        <f t="array" ref="J479">_xlfn.IFS(H479&gt;200000,"2 Lakhs +",H479&gt;=100000,"1-2 Lakhs",H479&lt;100000,"Below 1 Lakhs")</f>
        <v>1-2 Lakhs</v>
      </c>
    </row>
    <row r="480" spans="1:10" x14ac:dyDescent="0.25">
      <c r="A480" s="12">
        <v>479</v>
      </c>
      <c r="B480" s="6">
        <v>5284</v>
      </c>
      <c r="C480" s="12">
        <v>62</v>
      </c>
      <c r="D480" s="6" t="s">
        <v>17</v>
      </c>
      <c r="E480" s="6" t="s">
        <v>316</v>
      </c>
      <c r="F480" s="10">
        <v>27269</v>
      </c>
      <c r="G480" s="12">
        <v>29</v>
      </c>
      <c r="H480" s="8">
        <v>232123</v>
      </c>
      <c r="I480" s="6" t="str" cm="1">
        <f t="array" ref="I480">_xlfn.IFS(C480&gt;50,"50+",C480&gt;=30,"30-50",C480&lt;30,"Under 30")</f>
        <v>50+</v>
      </c>
      <c r="J480" s="6" t="str" cm="1">
        <f t="array" ref="J480">_xlfn.IFS(H480&gt;200000,"2 Lakhs +",H480&gt;=100000,"1-2 Lakhs",H480&lt;100000,"Below 1 Lakhs")</f>
        <v>2 Lakhs +</v>
      </c>
    </row>
    <row r="481" spans="1:10" x14ac:dyDescent="0.25">
      <c r="A481" s="12">
        <v>480</v>
      </c>
      <c r="B481" s="6">
        <v>3907</v>
      </c>
      <c r="C481" s="12">
        <v>56</v>
      </c>
      <c r="D481" s="6" t="s">
        <v>10</v>
      </c>
      <c r="E481" s="6" t="s">
        <v>317</v>
      </c>
      <c r="F481" s="10">
        <v>40741</v>
      </c>
      <c r="G481" s="12">
        <v>29</v>
      </c>
      <c r="H481" s="8">
        <v>229395</v>
      </c>
      <c r="I481" s="6" t="str" cm="1">
        <f t="array" ref="I481">_xlfn.IFS(C481&gt;50,"50+",C481&gt;=30,"30-50",C481&lt;30,"Under 30")</f>
        <v>50+</v>
      </c>
      <c r="J481" s="6" t="str" cm="1">
        <f t="array" ref="J481">_xlfn.IFS(H481&gt;200000,"2 Lakhs +",H481&gt;=100000,"1-2 Lakhs",H481&lt;100000,"Below 1 Lakhs")</f>
        <v>2 Lakhs +</v>
      </c>
    </row>
    <row r="482" spans="1:10" x14ac:dyDescent="0.25">
      <c r="A482" s="12">
        <v>481</v>
      </c>
      <c r="B482" s="6">
        <v>3543</v>
      </c>
      <c r="C482" s="12">
        <v>45</v>
      </c>
      <c r="D482" s="6" t="s">
        <v>11</v>
      </c>
      <c r="E482" s="6" t="s">
        <v>316</v>
      </c>
      <c r="F482" s="10">
        <v>40877</v>
      </c>
      <c r="G482" s="12">
        <v>25</v>
      </c>
      <c r="H482" s="8">
        <v>202850</v>
      </c>
      <c r="I482" s="6" t="str" cm="1">
        <f t="array" ref="I482">_xlfn.IFS(C482&gt;50,"50+",C482&gt;=30,"30-50",C482&lt;30,"Under 30")</f>
        <v>30-50</v>
      </c>
      <c r="J482" s="6" t="str" cm="1">
        <f t="array" ref="J482">_xlfn.IFS(H482&gt;200000,"2 Lakhs +",H482&gt;=100000,"1-2 Lakhs",H482&lt;100000,"Below 1 Lakhs")</f>
        <v>2 Lakhs +</v>
      </c>
    </row>
    <row r="483" spans="1:10" x14ac:dyDescent="0.25">
      <c r="A483" s="12">
        <v>482</v>
      </c>
      <c r="B483" s="6">
        <v>5168</v>
      </c>
      <c r="C483" s="12">
        <v>23</v>
      </c>
      <c r="D483" s="6" t="s">
        <v>17</v>
      </c>
      <c r="E483" s="6" t="s">
        <v>317</v>
      </c>
      <c r="F483" s="10">
        <v>26750</v>
      </c>
      <c r="G483" s="12">
        <v>10</v>
      </c>
      <c r="H483" s="8">
        <v>85536</v>
      </c>
      <c r="I483" s="6" t="str" cm="1">
        <f t="array" ref="I483">_xlfn.IFS(C483&gt;50,"50+",C483&gt;=30,"30-50",C483&lt;30,"Under 30")</f>
        <v>Under 30</v>
      </c>
      <c r="J483" s="6" t="str" cm="1">
        <f t="array" ref="J483">_xlfn.IFS(H483&gt;200000,"2 Lakhs +",H483&gt;=100000,"1-2 Lakhs",H483&lt;100000,"Below 1 Lakhs")</f>
        <v>Below 1 Lakhs</v>
      </c>
    </row>
    <row r="484" spans="1:10" x14ac:dyDescent="0.25">
      <c r="A484" s="12">
        <v>483</v>
      </c>
      <c r="B484" s="6">
        <v>2060</v>
      </c>
      <c r="C484" s="12">
        <v>42</v>
      </c>
      <c r="D484" s="6" t="s">
        <v>13</v>
      </c>
      <c r="E484" s="6" t="s">
        <v>317</v>
      </c>
      <c r="F484" s="10">
        <v>34634</v>
      </c>
      <c r="G484" s="12">
        <v>21</v>
      </c>
      <c r="H484" s="8">
        <v>172003</v>
      </c>
      <c r="I484" s="6" t="str" cm="1">
        <f t="array" ref="I484">_xlfn.IFS(C484&gt;50,"50+",C484&gt;=30,"30-50",C484&lt;30,"Under 30")</f>
        <v>30-50</v>
      </c>
      <c r="J484" s="6" t="str" cm="1">
        <f t="array" ref="J484">_xlfn.IFS(H484&gt;200000,"2 Lakhs +",H484&gt;=100000,"1-2 Lakhs",H484&lt;100000,"Below 1 Lakhs")</f>
        <v>1-2 Lakhs</v>
      </c>
    </row>
    <row r="485" spans="1:10" x14ac:dyDescent="0.25">
      <c r="A485" s="12">
        <v>484</v>
      </c>
      <c r="B485" s="6">
        <v>5476</v>
      </c>
      <c r="C485" s="12">
        <v>56</v>
      </c>
      <c r="D485" s="6" t="s">
        <v>8</v>
      </c>
      <c r="E485" s="6" t="s">
        <v>316</v>
      </c>
      <c r="F485" s="10">
        <v>40881</v>
      </c>
      <c r="G485" s="12">
        <v>29</v>
      </c>
      <c r="H485" s="8">
        <v>235111</v>
      </c>
      <c r="I485" s="6" t="str" cm="1">
        <f t="array" ref="I485">_xlfn.IFS(C485&gt;50,"50+",C485&gt;=30,"30-50",C485&lt;30,"Under 30")</f>
        <v>50+</v>
      </c>
      <c r="J485" s="6" t="str" cm="1">
        <f t="array" ref="J485">_xlfn.IFS(H485&gt;200000,"2 Lakhs +",H485&gt;=100000,"1-2 Lakhs",H485&lt;100000,"Below 1 Lakhs")</f>
        <v>2 Lakhs +</v>
      </c>
    </row>
    <row r="486" spans="1:10" x14ac:dyDescent="0.25">
      <c r="A486" s="12">
        <v>485</v>
      </c>
      <c r="B486" s="6">
        <v>5336</v>
      </c>
      <c r="C486" s="12">
        <v>60</v>
      </c>
      <c r="D486" s="6" t="s">
        <v>10</v>
      </c>
      <c r="E486" s="6" t="s">
        <v>317</v>
      </c>
      <c r="F486" s="10">
        <v>26158</v>
      </c>
      <c r="G486" s="12">
        <v>32</v>
      </c>
      <c r="H486" s="8">
        <v>248177</v>
      </c>
      <c r="I486" s="6" t="str" cm="1">
        <f t="array" ref="I486">_xlfn.IFS(C486&gt;50,"50+",C486&gt;=30,"30-50",C486&lt;30,"Under 30")</f>
        <v>50+</v>
      </c>
      <c r="J486" s="6" t="str" cm="1">
        <f t="array" ref="J486">_xlfn.IFS(H486&gt;200000,"2 Lakhs +",H486&gt;=100000,"1-2 Lakhs",H486&lt;100000,"Below 1 Lakhs")</f>
        <v>2 Lakhs +</v>
      </c>
    </row>
    <row r="487" spans="1:10" x14ac:dyDescent="0.25">
      <c r="A487" s="12">
        <v>486</v>
      </c>
      <c r="B487" s="6">
        <v>7226</v>
      </c>
      <c r="C487" s="12">
        <v>38</v>
      </c>
      <c r="D487" s="6" t="s">
        <v>13</v>
      </c>
      <c r="E487" s="6" t="s">
        <v>317</v>
      </c>
      <c r="F487" s="10">
        <v>43419</v>
      </c>
      <c r="G487" s="12">
        <v>25</v>
      </c>
      <c r="H487" s="8">
        <v>199358</v>
      </c>
      <c r="I487" s="6" t="str" cm="1">
        <f t="array" ref="I487">_xlfn.IFS(C487&gt;50,"50+",C487&gt;=30,"30-50",C487&lt;30,"Under 30")</f>
        <v>30-50</v>
      </c>
      <c r="J487" s="6" t="str" cm="1">
        <f t="array" ref="J487">_xlfn.IFS(H487&gt;200000,"2 Lakhs +",H487&gt;=100000,"1-2 Lakhs",H487&lt;100000,"Below 1 Lakhs")</f>
        <v>1-2 Lakhs</v>
      </c>
    </row>
    <row r="488" spans="1:10" x14ac:dyDescent="0.25">
      <c r="A488" s="12">
        <v>487</v>
      </c>
      <c r="B488" s="6">
        <v>7799</v>
      </c>
      <c r="C488" s="12">
        <v>42</v>
      </c>
      <c r="D488" s="6" t="s">
        <v>8</v>
      </c>
      <c r="E488" s="6" t="s">
        <v>316</v>
      </c>
      <c r="F488" s="10">
        <v>31987</v>
      </c>
      <c r="G488" s="12">
        <v>24</v>
      </c>
      <c r="H488" s="8">
        <v>189242</v>
      </c>
      <c r="I488" s="6" t="str" cm="1">
        <f t="array" ref="I488">_xlfn.IFS(C488&gt;50,"50+",C488&gt;=30,"30-50",C488&lt;30,"Under 30")</f>
        <v>30-50</v>
      </c>
      <c r="J488" s="6" t="str" cm="1">
        <f t="array" ref="J488">_xlfn.IFS(H488&gt;200000,"2 Lakhs +",H488&gt;=100000,"1-2 Lakhs",H488&lt;100000,"Below 1 Lakhs")</f>
        <v>1-2 Lakhs</v>
      </c>
    </row>
    <row r="489" spans="1:10" x14ac:dyDescent="0.25">
      <c r="A489" s="12">
        <v>488</v>
      </c>
      <c r="B489" s="6">
        <v>1518</v>
      </c>
      <c r="C489" s="12">
        <v>35</v>
      </c>
      <c r="D489" s="6" t="s">
        <v>10</v>
      </c>
      <c r="E489" s="6" t="s">
        <v>317</v>
      </c>
      <c r="F489" s="10">
        <v>36995</v>
      </c>
      <c r="G489" s="12">
        <v>14</v>
      </c>
      <c r="H489" s="8">
        <v>115170</v>
      </c>
      <c r="I489" s="6" t="str" cm="1">
        <f t="array" ref="I489">_xlfn.IFS(C489&gt;50,"50+",C489&gt;=30,"30-50",C489&lt;30,"Under 30")</f>
        <v>30-50</v>
      </c>
      <c r="J489" s="6" t="str" cm="1">
        <f t="array" ref="J489">_xlfn.IFS(H489&gt;200000,"2 Lakhs +",H489&gt;=100000,"1-2 Lakhs",H489&lt;100000,"Below 1 Lakhs")</f>
        <v>1-2 Lakhs</v>
      </c>
    </row>
    <row r="490" spans="1:10" x14ac:dyDescent="0.25">
      <c r="A490" s="12">
        <v>489</v>
      </c>
      <c r="B490" s="6">
        <v>5175</v>
      </c>
      <c r="C490" s="12">
        <v>64</v>
      </c>
      <c r="D490" s="6" t="s">
        <v>17</v>
      </c>
      <c r="E490" s="6" t="s">
        <v>316</v>
      </c>
      <c r="F490" s="10">
        <v>37165</v>
      </c>
      <c r="G490" s="12">
        <v>35</v>
      </c>
      <c r="H490" s="8">
        <v>285886</v>
      </c>
      <c r="I490" s="6" t="str" cm="1">
        <f t="array" ref="I490">_xlfn.IFS(C490&gt;50,"50+",C490&gt;=30,"30-50",C490&lt;30,"Under 30")</f>
        <v>50+</v>
      </c>
      <c r="J490" s="6" t="str" cm="1">
        <f t="array" ref="J490">_xlfn.IFS(H490&gt;200000,"2 Lakhs +",H490&gt;=100000,"1-2 Lakhs",H490&lt;100000,"Below 1 Lakhs")</f>
        <v>2 Lakhs +</v>
      </c>
    </row>
    <row r="491" spans="1:10" x14ac:dyDescent="0.25">
      <c r="A491" s="12">
        <v>490</v>
      </c>
      <c r="B491" s="6">
        <v>8349</v>
      </c>
      <c r="C491" s="12">
        <v>48</v>
      </c>
      <c r="D491" s="6" t="s">
        <v>17</v>
      </c>
      <c r="E491" s="6" t="s">
        <v>317</v>
      </c>
      <c r="F491" s="10">
        <v>27176</v>
      </c>
      <c r="G491" s="12">
        <v>23</v>
      </c>
      <c r="H491" s="8">
        <v>177664</v>
      </c>
      <c r="I491" s="6" t="str" cm="1">
        <f t="array" ref="I491">_xlfn.IFS(C491&gt;50,"50+",C491&gt;=30,"30-50",C491&lt;30,"Under 30")</f>
        <v>30-50</v>
      </c>
      <c r="J491" s="6" t="str" cm="1">
        <f t="array" ref="J491">_xlfn.IFS(H491&gt;200000,"2 Lakhs +",H491&gt;=100000,"1-2 Lakhs",H491&lt;100000,"Below 1 Lakhs")</f>
        <v>1-2 Lakhs</v>
      </c>
    </row>
    <row r="492" spans="1:10" x14ac:dyDescent="0.25">
      <c r="A492" s="12">
        <v>491</v>
      </c>
      <c r="B492" s="6">
        <v>2319</v>
      </c>
      <c r="C492" s="12">
        <v>29</v>
      </c>
      <c r="D492" s="6" t="s">
        <v>11</v>
      </c>
      <c r="E492" s="6" t="s">
        <v>316</v>
      </c>
      <c r="F492" s="10">
        <v>31692</v>
      </c>
      <c r="G492" s="12">
        <v>15</v>
      </c>
      <c r="H492" s="8">
        <v>113358</v>
      </c>
      <c r="I492" s="6" t="str" cm="1">
        <f t="array" ref="I492">_xlfn.IFS(C492&gt;50,"50+",C492&gt;=30,"30-50",C492&lt;30,"Under 30")</f>
        <v>Under 30</v>
      </c>
      <c r="J492" s="6" t="str" cm="1">
        <f t="array" ref="J492">_xlfn.IFS(H492&gt;200000,"2 Lakhs +",H492&gt;=100000,"1-2 Lakhs",H492&lt;100000,"Below 1 Lakhs")</f>
        <v>1-2 Lakhs</v>
      </c>
    </row>
    <row r="493" spans="1:10" x14ac:dyDescent="0.25">
      <c r="A493" s="12">
        <v>492</v>
      </c>
      <c r="B493" s="6">
        <v>5357</v>
      </c>
      <c r="C493" s="12">
        <v>27</v>
      </c>
      <c r="D493" s="6" t="s">
        <v>8</v>
      </c>
      <c r="E493" s="6" t="s">
        <v>317</v>
      </c>
      <c r="F493" s="10">
        <v>27720</v>
      </c>
      <c r="G493" s="12">
        <v>14</v>
      </c>
      <c r="H493" s="8">
        <v>115037</v>
      </c>
      <c r="I493" s="6" t="str" cm="1">
        <f t="array" ref="I493">_xlfn.IFS(C493&gt;50,"50+",C493&gt;=30,"30-50",C493&lt;30,"Under 30")</f>
        <v>Under 30</v>
      </c>
      <c r="J493" s="6" t="str" cm="1">
        <f t="array" ref="J493">_xlfn.IFS(H493&gt;200000,"2 Lakhs +",H493&gt;=100000,"1-2 Lakhs",H493&lt;100000,"Below 1 Lakhs")</f>
        <v>1-2 Lakhs</v>
      </c>
    </row>
    <row r="494" spans="1:10" x14ac:dyDescent="0.25">
      <c r="A494" s="12">
        <v>493</v>
      </c>
      <c r="B494" s="6">
        <v>6309</v>
      </c>
      <c r="C494" s="12">
        <v>43</v>
      </c>
      <c r="D494" s="6" t="s">
        <v>13</v>
      </c>
      <c r="E494" s="6" t="s">
        <v>317</v>
      </c>
      <c r="F494" s="10">
        <v>34266</v>
      </c>
      <c r="G494" s="12">
        <v>23</v>
      </c>
      <c r="H494" s="8">
        <v>183906</v>
      </c>
      <c r="I494" s="6" t="str" cm="1">
        <f t="array" ref="I494">_xlfn.IFS(C494&gt;50,"50+",C494&gt;=30,"30-50",C494&lt;30,"Under 30")</f>
        <v>30-50</v>
      </c>
      <c r="J494" s="6" t="str" cm="1">
        <f t="array" ref="J494">_xlfn.IFS(H494&gt;200000,"2 Lakhs +",H494&gt;=100000,"1-2 Lakhs",H494&lt;100000,"Below 1 Lakhs")</f>
        <v>1-2 Lakhs</v>
      </c>
    </row>
    <row r="495" spans="1:10" x14ac:dyDescent="0.25">
      <c r="A495" s="12">
        <v>494</v>
      </c>
      <c r="B495" s="6">
        <v>3870</v>
      </c>
      <c r="C495" s="12">
        <v>42</v>
      </c>
      <c r="D495" s="6" t="s">
        <v>17</v>
      </c>
      <c r="E495" s="6" t="s">
        <v>316</v>
      </c>
      <c r="F495" s="10">
        <v>26681</v>
      </c>
      <c r="G495" s="12">
        <v>22</v>
      </c>
      <c r="H495" s="8">
        <v>176978</v>
      </c>
      <c r="I495" s="6" t="str" cm="1">
        <f t="array" ref="I495">_xlfn.IFS(C495&gt;50,"50+",C495&gt;=30,"30-50",C495&lt;30,"Under 30")</f>
        <v>30-50</v>
      </c>
      <c r="J495" s="6" t="str" cm="1">
        <f t="array" ref="J495">_xlfn.IFS(H495&gt;200000,"2 Lakhs +",H495&gt;=100000,"1-2 Lakhs",H495&lt;100000,"Below 1 Lakhs")</f>
        <v>1-2 Lakhs</v>
      </c>
    </row>
    <row r="496" spans="1:10" x14ac:dyDescent="0.25">
      <c r="A496" s="12">
        <v>495</v>
      </c>
      <c r="B496" s="6">
        <v>3740</v>
      </c>
      <c r="C496" s="12">
        <v>59</v>
      </c>
      <c r="D496" s="6" t="s">
        <v>13</v>
      </c>
      <c r="E496" s="6" t="s">
        <v>316</v>
      </c>
      <c r="F496" s="10">
        <v>41789</v>
      </c>
      <c r="G496" s="12">
        <v>31</v>
      </c>
      <c r="H496" s="8">
        <v>257256</v>
      </c>
      <c r="I496" s="6" t="str" cm="1">
        <f t="array" ref="I496">_xlfn.IFS(C496&gt;50,"50+",C496&gt;=30,"30-50",C496&lt;30,"Under 30")</f>
        <v>50+</v>
      </c>
      <c r="J496" s="6" t="str" cm="1">
        <f t="array" ref="J496">_xlfn.IFS(H496&gt;200000,"2 Lakhs +",H496&gt;=100000,"1-2 Lakhs",H496&lt;100000,"Below 1 Lakhs")</f>
        <v>2 Lakhs +</v>
      </c>
    </row>
    <row r="497" spans="1:10" x14ac:dyDescent="0.25">
      <c r="A497" s="12">
        <v>496</v>
      </c>
      <c r="B497" s="6">
        <v>8426</v>
      </c>
      <c r="C497" s="12">
        <v>32</v>
      </c>
      <c r="D497" s="6" t="s">
        <v>11</v>
      </c>
      <c r="E497" s="6" t="s">
        <v>317</v>
      </c>
      <c r="F497" s="10">
        <v>41612</v>
      </c>
      <c r="G497" s="12">
        <v>16</v>
      </c>
      <c r="H497" s="8">
        <v>126088</v>
      </c>
      <c r="I497" s="6" t="str" cm="1">
        <f t="array" ref="I497">_xlfn.IFS(C497&gt;50,"50+",C497&gt;=30,"30-50",C497&lt;30,"Under 30")</f>
        <v>30-50</v>
      </c>
      <c r="J497" s="6" t="str" cm="1">
        <f t="array" ref="J497">_xlfn.IFS(H497&gt;200000,"2 Lakhs +",H497&gt;=100000,"1-2 Lakhs",H497&lt;100000,"Below 1 Lakhs")</f>
        <v>1-2 Lakhs</v>
      </c>
    </row>
    <row r="498" spans="1:10" x14ac:dyDescent="0.25">
      <c r="A498" s="12">
        <v>497</v>
      </c>
      <c r="B498" s="6">
        <v>9810</v>
      </c>
      <c r="C498" s="12">
        <v>26</v>
      </c>
      <c r="D498" s="6" t="s">
        <v>17</v>
      </c>
      <c r="E498" s="6" t="s">
        <v>317</v>
      </c>
      <c r="F498" s="10">
        <v>44683</v>
      </c>
      <c r="G498" s="12">
        <v>15</v>
      </c>
      <c r="H498" s="8">
        <v>118094</v>
      </c>
      <c r="I498" s="6" t="str" cm="1">
        <f t="array" ref="I498">_xlfn.IFS(C498&gt;50,"50+",C498&gt;=30,"30-50",C498&lt;30,"Under 30")</f>
        <v>Under 30</v>
      </c>
      <c r="J498" s="6" t="str" cm="1">
        <f t="array" ref="J498">_xlfn.IFS(H498&gt;200000,"2 Lakhs +",H498&gt;=100000,"1-2 Lakhs",H498&lt;100000,"Below 1 Lakhs")</f>
        <v>1-2 Lakhs</v>
      </c>
    </row>
    <row r="499" spans="1:10" x14ac:dyDescent="0.25">
      <c r="A499" s="12">
        <v>498</v>
      </c>
      <c r="B499" s="6">
        <v>5396</v>
      </c>
      <c r="C499" s="12">
        <v>34</v>
      </c>
      <c r="D499" s="6" t="s">
        <v>8</v>
      </c>
      <c r="E499" s="6" t="s">
        <v>316</v>
      </c>
      <c r="F499" s="10">
        <v>45769</v>
      </c>
      <c r="G499" s="12">
        <v>16</v>
      </c>
      <c r="H499" s="8">
        <v>131208</v>
      </c>
      <c r="I499" s="6" t="str" cm="1">
        <f t="array" ref="I499">_xlfn.IFS(C499&gt;50,"50+",C499&gt;=30,"30-50",C499&lt;30,"Under 30")</f>
        <v>30-50</v>
      </c>
      <c r="J499" s="6" t="str" cm="1">
        <f t="array" ref="J499">_xlfn.IFS(H499&gt;200000,"2 Lakhs +",H499&gt;=100000,"1-2 Lakhs",H499&lt;100000,"Below 1 Lakhs")</f>
        <v>1-2 Lakhs</v>
      </c>
    </row>
    <row r="500" spans="1:10" x14ac:dyDescent="0.25">
      <c r="A500" s="12">
        <v>499</v>
      </c>
      <c r="B500" s="6">
        <v>7546</v>
      </c>
      <c r="C500" s="12">
        <v>60</v>
      </c>
      <c r="D500" s="6" t="s">
        <v>13</v>
      </c>
      <c r="E500" s="6" t="s">
        <v>316</v>
      </c>
      <c r="F500" s="10">
        <v>25581</v>
      </c>
      <c r="G500" s="12">
        <v>28</v>
      </c>
      <c r="H500" s="8">
        <v>224502</v>
      </c>
      <c r="I500" s="6" t="str" cm="1">
        <f t="array" ref="I500">_xlfn.IFS(C500&gt;50,"50+",C500&gt;=30,"30-50",C500&lt;30,"Under 30")</f>
        <v>50+</v>
      </c>
      <c r="J500" s="6" t="str" cm="1">
        <f t="array" ref="J500">_xlfn.IFS(H500&gt;200000,"2 Lakhs +",H500&gt;=100000,"1-2 Lakhs",H500&lt;100000,"Below 1 Lakhs")</f>
        <v>2 Lakhs +</v>
      </c>
    </row>
    <row r="501" spans="1:10" x14ac:dyDescent="0.25">
      <c r="A501" s="12">
        <v>500</v>
      </c>
      <c r="B501" s="6">
        <v>7744</v>
      </c>
      <c r="C501" s="12">
        <v>29</v>
      </c>
      <c r="D501" s="6" t="s">
        <v>8</v>
      </c>
      <c r="E501" s="6" t="s">
        <v>317</v>
      </c>
      <c r="F501" s="10">
        <v>32315</v>
      </c>
      <c r="G501" s="12">
        <v>15</v>
      </c>
      <c r="H501" s="8">
        <v>114758</v>
      </c>
      <c r="I501" s="6" t="str" cm="1">
        <f t="array" ref="I501">_xlfn.IFS(C501&gt;50,"50+",C501&gt;=30,"30-50",C501&lt;30,"Under 30")</f>
        <v>Under 30</v>
      </c>
      <c r="J501" s="6" t="str" cm="1">
        <f t="array" ref="J501">_xlfn.IFS(H501&gt;200000,"2 Lakhs +",H501&gt;=100000,"1-2 Lakhs",H501&lt;100000,"Below 1 Lakhs")</f>
        <v>1-2 Lakhs</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6"/>
  <sheetViews>
    <sheetView workbookViewId="0">
      <selection activeCell="B15" sqref="B15"/>
    </sheetView>
  </sheetViews>
  <sheetFormatPr defaultRowHeight="15" x14ac:dyDescent="0.25"/>
  <cols>
    <col min="1" max="1" width="16.28515625" bestFit="1" customWidth="1"/>
    <col min="2" max="2" width="63.42578125" bestFit="1" customWidth="1"/>
    <col min="3" max="3" width="53.140625" bestFit="1" customWidth="1"/>
  </cols>
  <sheetData>
    <row r="1" spans="1:3" ht="15.75" x14ac:dyDescent="0.25">
      <c r="A1" s="20" t="s">
        <v>343</v>
      </c>
      <c r="B1" s="20" t="s">
        <v>344</v>
      </c>
      <c r="C1" s="20" t="s">
        <v>345</v>
      </c>
    </row>
    <row r="2" spans="1:3" x14ac:dyDescent="0.25">
      <c r="A2" s="21" t="s">
        <v>346</v>
      </c>
      <c r="B2" s="21" t="s">
        <v>347</v>
      </c>
      <c r="C2" s="21" t="s">
        <v>368</v>
      </c>
    </row>
    <row r="3" spans="1:3" x14ac:dyDescent="0.25">
      <c r="A3" s="21" t="s">
        <v>2</v>
      </c>
      <c r="B3" s="21" t="s">
        <v>348</v>
      </c>
      <c r="C3" s="21" t="s">
        <v>349</v>
      </c>
    </row>
    <row r="4" spans="1:3" x14ac:dyDescent="0.25">
      <c r="A4" s="21" t="s">
        <v>350</v>
      </c>
      <c r="B4" s="21" t="s">
        <v>351</v>
      </c>
      <c r="C4" s="21" t="s">
        <v>352</v>
      </c>
    </row>
    <row r="5" spans="1:3" x14ac:dyDescent="0.25">
      <c r="A5" s="21" t="s">
        <v>6</v>
      </c>
      <c r="B5" s="21" t="s">
        <v>348</v>
      </c>
      <c r="C5" s="21" t="s">
        <v>353</v>
      </c>
    </row>
    <row r="6" spans="1:3" x14ac:dyDescent="0.25">
      <c r="A6" s="21" t="s">
        <v>7</v>
      </c>
      <c r="B6" s="21" t="s">
        <v>354</v>
      </c>
      <c r="C6" s="21" t="s">
        <v>355</v>
      </c>
    </row>
    <row r="7" spans="1:3" x14ac:dyDescent="0.25">
      <c r="A7" s="21" t="s">
        <v>356</v>
      </c>
      <c r="B7" s="21" t="s">
        <v>357</v>
      </c>
      <c r="C7" s="21" t="s">
        <v>358</v>
      </c>
    </row>
    <row r="8" spans="1:3" x14ac:dyDescent="0.25">
      <c r="A8" s="21" t="s">
        <v>364</v>
      </c>
      <c r="B8" s="21" t="s">
        <v>359</v>
      </c>
      <c r="C8" s="21" t="s">
        <v>360</v>
      </c>
    </row>
    <row r="9" spans="1:3" x14ac:dyDescent="0.25">
      <c r="A9" s="21" t="s">
        <v>361</v>
      </c>
      <c r="B9" s="21" t="s">
        <v>362</v>
      </c>
      <c r="C9" s="21" t="s">
        <v>363</v>
      </c>
    </row>
    <row r="10" spans="1:3" x14ac:dyDescent="0.25">
      <c r="A10" s="21" t="s">
        <v>365</v>
      </c>
      <c r="B10" s="21" t="s">
        <v>366</v>
      </c>
      <c r="C10" s="21" t="s">
        <v>367</v>
      </c>
    </row>
    <row r="12" spans="1:3" x14ac:dyDescent="0.25">
      <c r="A12" s="22"/>
      <c r="B12" s="22"/>
      <c r="C12" s="22"/>
    </row>
    <row r="13" spans="1:3" x14ac:dyDescent="0.25">
      <c r="A13" s="22"/>
      <c r="B13" s="22"/>
      <c r="C13" s="22"/>
    </row>
    <row r="14" spans="1:3" x14ac:dyDescent="0.25">
      <c r="A14" s="22"/>
      <c r="B14" s="22"/>
      <c r="C14" s="22"/>
    </row>
    <row r="15" spans="1:3" x14ac:dyDescent="0.25">
      <c r="A15" s="22"/>
      <c r="B15" s="22"/>
      <c r="C15" s="22"/>
    </row>
    <row r="16" spans="1:3" x14ac:dyDescent="0.25">
      <c r="A16" s="22"/>
      <c r="B16" s="22"/>
      <c r="C16" s="2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
  <sheetViews>
    <sheetView workbookViewId="0">
      <selection activeCell="B5" sqref="B5"/>
    </sheetView>
  </sheetViews>
  <sheetFormatPr defaultRowHeight="15" x14ac:dyDescent="0.25"/>
  <cols>
    <col min="1" max="1" width="62.28515625" bestFit="1" customWidth="1"/>
    <col min="2" max="2" width="12.7109375" bestFit="1" customWidth="1"/>
  </cols>
  <sheetData>
    <row r="1" spans="1:2" x14ac:dyDescent="0.25">
      <c r="A1" s="18" t="s">
        <v>336</v>
      </c>
      <c r="B1" s="19" t="s">
        <v>341</v>
      </c>
    </row>
    <row r="2" spans="1:2" x14ac:dyDescent="0.25">
      <c r="A2" s="19" t="s">
        <v>333</v>
      </c>
      <c r="B2" s="23">
        <f>MAX('Cleaned Data'!H2:H501)</f>
        <v>293410</v>
      </c>
    </row>
    <row r="3" spans="1:2" x14ac:dyDescent="0.25">
      <c r="A3" s="19" t="s">
        <v>334</v>
      </c>
      <c r="B3" s="19">
        <f>COUNTIFS('Cleaned Data'!D2:D501,'Cleaned Data'!D484,'Cleaned Data'!E2:E501,'Cleaned Data'!E3)</f>
        <v>46</v>
      </c>
    </row>
    <row r="4" spans="1:2" x14ac:dyDescent="0.25">
      <c r="A4" s="19" t="s">
        <v>332</v>
      </c>
      <c r="B4" s="19">
        <f>AVERAGE('Cleaned Data'!G2:G501)</f>
        <v>21.315999999999999</v>
      </c>
    </row>
    <row r="5" spans="1:2" x14ac:dyDescent="0.25">
      <c r="A5" s="19" t="s">
        <v>340</v>
      </c>
      <c r="B5" s="24">
        <f>AVERAGE('Cleaned Data'!H2:H501)</f>
        <v>170634.372</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A13"/>
  <sheetViews>
    <sheetView workbookViewId="0">
      <selection activeCell="A5" sqref="A5"/>
    </sheetView>
  </sheetViews>
  <sheetFormatPr defaultRowHeight="15" x14ac:dyDescent="0.25"/>
  <cols>
    <col min="1" max="1" width="62.28515625" bestFit="1" customWidth="1"/>
  </cols>
  <sheetData>
    <row r="2" spans="1:1" x14ac:dyDescent="0.25">
      <c r="A2" s="16" t="s">
        <v>335</v>
      </c>
    </row>
    <row r="3" spans="1:1" x14ac:dyDescent="0.25">
      <c r="A3" s="17" t="s">
        <v>319</v>
      </c>
    </row>
    <row r="4" spans="1:1" x14ac:dyDescent="0.25">
      <c r="A4" s="17" t="s">
        <v>318</v>
      </c>
    </row>
    <row r="5" spans="1:1" x14ac:dyDescent="0.25">
      <c r="A5" s="17" t="s">
        <v>339</v>
      </c>
    </row>
    <row r="6" spans="1:1" x14ac:dyDescent="0.25">
      <c r="A6" s="17" t="s">
        <v>338</v>
      </c>
    </row>
    <row r="7" spans="1:1" x14ac:dyDescent="0.25">
      <c r="A7" s="17" t="s">
        <v>337</v>
      </c>
    </row>
    <row r="9" spans="1:1" x14ac:dyDescent="0.25">
      <c r="A9" s="16" t="s">
        <v>336</v>
      </c>
    </row>
    <row r="10" spans="1:1" x14ac:dyDescent="0.25">
      <c r="A10" s="17" t="s">
        <v>333</v>
      </c>
    </row>
    <row r="11" spans="1:1" x14ac:dyDescent="0.25">
      <c r="A11" s="17" t="s">
        <v>334</v>
      </c>
    </row>
    <row r="12" spans="1:1" x14ac:dyDescent="0.25">
      <c r="A12" s="17" t="s">
        <v>332</v>
      </c>
    </row>
    <row r="13" spans="1:1" x14ac:dyDescent="0.25">
      <c r="A13" s="17" t="s">
        <v>340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N97"/>
  <sheetViews>
    <sheetView topLeftCell="A84" workbookViewId="0">
      <selection activeCell="B92" sqref="B92"/>
    </sheetView>
  </sheetViews>
  <sheetFormatPr defaultRowHeight="15" x14ac:dyDescent="0.25"/>
  <cols>
    <col min="1" max="1" width="11.28515625" bestFit="1" customWidth="1"/>
    <col min="2" max="2" width="21.140625" bestFit="1" customWidth="1"/>
    <col min="3" max="3" width="8.7109375" bestFit="1" customWidth="1"/>
    <col min="4" max="4" width="13.42578125" bestFit="1" customWidth="1"/>
    <col min="5" max="5" width="11.28515625" bestFit="1" customWidth="1"/>
    <col min="6" max="6" width="5" bestFit="1" customWidth="1"/>
    <col min="7" max="7" width="10.7109375" bestFit="1" customWidth="1"/>
    <col min="8" max="13" width="2.85546875" bestFit="1" customWidth="1"/>
    <col min="14" max="14" width="4" bestFit="1" customWidth="1"/>
    <col min="15" max="31" width="2.85546875" bestFit="1" customWidth="1"/>
    <col min="32" max="32" width="10.7109375" bestFit="1" customWidth="1"/>
    <col min="33" max="487" width="15.28515625" bestFit="1" customWidth="1"/>
    <col min="488" max="489" width="10.7109375" bestFit="1" customWidth="1"/>
    <col min="490" max="502" width="6.85546875" bestFit="1" customWidth="1"/>
    <col min="503" max="503" width="9.7109375" bestFit="1" customWidth="1"/>
    <col min="504" max="504" width="10.7109375" bestFit="1" customWidth="1"/>
  </cols>
  <sheetData>
    <row r="3" spans="1:14" x14ac:dyDescent="0.25">
      <c r="A3" s="14" t="s">
        <v>320</v>
      </c>
      <c r="B3" t="s">
        <v>322</v>
      </c>
    </row>
    <row r="4" spans="1:14" x14ac:dyDescent="0.25">
      <c r="A4" s="15" t="s">
        <v>8</v>
      </c>
      <c r="B4" s="32">
        <v>57</v>
      </c>
    </row>
    <row r="5" spans="1:14" x14ac:dyDescent="0.25">
      <c r="A5" s="15" t="s">
        <v>13</v>
      </c>
      <c r="B5" s="32">
        <v>41</v>
      </c>
    </row>
    <row r="6" spans="1:14" x14ac:dyDescent="0.25">
      <c r="A6" s="15" t="s">
        <v>17</v>
      </c>
      <c r="B6" s="32">
        <v>51</v>
      </c>
      <c r="N6">
        <f>GETPIVOTDATA("Index",$A$3)</f>
        <v>243</v>
      </c>
    </row>
    <row r="7" spans="1:14" x14ac:dyDescent="0.25">
      <c r="A7" s="15" t="s">
        <v>11</v>
      </c>
      <c r="B7" s="32">
        <v>48</v>
      </c>
    </row>
    <row r="8" spans="1:14" x14ac:dyDescent="0.25">
      <c r="A8" s="15" t="s">
        <v>10</v>
      </c>
      <c r="B8" s="32">
        <v>46</v>
      </c>
    </row>
    <row r="9" spans="1:14" x14ac:dyDescent="0.25">
      <c r="A9" s="15" t="s">
        <v>321</v>
      </c>
      <c r="B9" s="32">
        <v>243</v>
      </c>
    </row>
    <row r="24" spans="1:2" x14ac:dyDescent="0.25">
      <c r="A24" s="14" t="s">
        <v>320</v>
      </c>
      <c r="B24" t="s">
        <v>322</v>
      </c>
    </row>
    <row r="25" spans="1:2" x14ac:dyDescent="0.25">
      <c r="A25" s="15" t="s">
        <v>316</v>
      </c>
      <c r="B25" s="32">
        <v>243</v>
      </c>
    </row>
    <row r="26" spans="1:2" x14ac:dyDescent="0.25">
      <c r="A26" s="15" t="s">
        <v>321</v>
      </c>
      <c r="B26" s="32">
        <v>243</v>
      </c>
    </row>
    <row r="32" spans="1:2" x14ac:dyDescent="0.25">
      <c r="A32" s="14" t="s">
        <v>324</v>
      </c>
      <c r="B32" t="s">
        <v>323</v>
      </c>
    </row>
    <row r="33" spans="1:5" x14ac:dyDescent="0.25">
      <c r="A33" s="15" t="s">
        <v>8</v>
      </c>
      <c r="B33" s="32">
        <v>165951.91228070174</v>
      </c>
    </row>
    <row r="34" spans="1:5" x14ac:dyDescent="0.25">
      <c r="A34" s="15" t="s">
        <v>13</v>
      </c>
      <c r="B34" s="32">
        <v>169498.46341463414</v>
      </c>
    </row>
    <row r="35" spans="1:5" x14ac:dyDescent="0.25">
      <c r="A35" s="15" t="s">
        <v>17</v>
      </c>
      <c r="B35" s="32">
        <v>172284.29411764705</v>
      </c>
    </row>
    <row r="36" spans="1:5" x14ac:dyDescent="0.25">
      <c r="A36" s="15" t="s">
        <v>11</v>
      </c>
      <c r="B36" s="32">
        <v>177039.1875</v>
      </c>
    </row>
    <row r="37" spans="1:5" x14ac:dyDescent="0.25">
      <c r="A37" s="15" t="s">
        <v>10</v>
      </c>
      <c r="B37" s="32">
        <v>162194.84782608695</v>
      </c>
    </row>
    <row r="38" spans="1:5" x14ac:dyDescent="0.25">
      <c r="A38" s="15" t="s">
        <v>321</v>
      </c>
      <c r="B38" s="32">
        <v>169358.1851851852</v>
      </c>
    </row>
    <row r="43" spans="1:5" x14ac:dyDescent="0.25">
      <c r="B43" s="14" t="s">
        <v>325</v>
      </c>
    </row>
    <row r="44" spans="1:5" x14ac:dyDescent="0.25">
      <c r="B44" t="s">
        <v>326</v>
      </c>
      <c r="C44" t="s">
        <v>327</v>
      </c>
      <c r="D44" t="s">
        <v>328</v>
      </c>
      <c r="E44" t="s">
        <v>321</v>
      </c>
    </row>
    <row r="45" spans="1:5" x14ac:dyDescent="0.25">
      <c r="A45" t="s">
        <v>322</v>
      </c>
      <c r="B45" s="32">
        <v>123</v>
      </c>
      <c r="C45" s="32">
        <v>81</v>
      </c>
      <c r="D45" s="32">
        <v>39</v>
      </c>
      <c r="E45" s="32">
        <v>243</v>
      </c>
    </row>
    <row r="60" spans="1:5" x14ac:dyDescent="0.25">
      <c r="B60" s="14" t="s">
        <v>325</v>
      </c>
    </row>
    <row r="61" spans="1:5" x14ac:dyDescent="0.25">
      <c r="B61" t="s">
        <v>329</v>
      </c>
      <c r="C61" t="s">
        <v>330</v>
      </c>
      <c r="D61" t="s">
        <v>331</v>
      </c>
      <c r="E61" t="s">
        <v>321</v>
      </c>
    </row>
    <row r="62" spans="1:5" x14ac:dyDescent="0.25">
      <c r="A62" t="s">
        <v>322</v>
      </c>
      <c r="B62" s="32">
        <v>136</v>
      </c>
      <c r="C62" s="32">
        <v>78</v>
      </c>
      <c r="D62" s="32">
        <v>29</v>
      </c>
      <c r="E62" s="32">
        <v>243</v>
      </c>
    </row>
    <row r="73" spans="1:2" x14ac:dyDescent="0.25">
      <c r="A73">
        <f>COUNT('Cleaned Data'!A2:A501)</f>
        <v>500</v>
      </c>
    </row>
    <row r="80" spans="1:2" x14ac:dyDescent="0.25">
      <c r="A80" s="14" t="s">
        <v>324</v>
      </c>
      <c r="B80" t="s">
        <v>342</v>
      </c>
    </row>
    <row r="81" spans="1:4" x14ac:dyDescent="0.25">
      <c r="A81" s="15" t="s">
        <v>8</v>
      </c>
      <c r="B81" s="32">
        <v>9459259</v>
      </c>
    </row>
    <row r="82" spans="1:4" x14ac:dyDescent="0.25">
      <c r="A82" s="15" t="s">
        <v>13</v>
      </c>
      <c r="B82" s="32">
        <v>6949437</v>
      </c>
    </row>
    <row r="83" spans="1:4" x14ac:dyDescent="0.25">
      <c r="A83" s="15" t="s">
        <v>17</v>
      </c>
      <c r="B83" s="32">
        <v>8786499</v>
      </c>
      <c r="D83" s="2">
        <f>GETPIVOTDATA("Salary",$A$80)</f>
        <v>41154039</v>
      </c>
    </row>
    <row r="84" spans="1:4" x14ac:dyDescent="0.25">
      <c r="A84" s="15" t="s">
        <v>11</v>
      </c>
      <c r="B84" s="32">
        <v>8497881</v>
      </c>
    </row>
    <row r="85" spans="1:4" x14ac:dyDescent="0.25">
      <c r="A85" s="15" t="s">
        <v>10</v>
      </c>
      <c r="B85" s="32">
        <v>7460963</v>
      </c>
    </row>
    <row r="86" spans="1:4" x14ac:dyDescent="0.25">
      <c r="A86" s="15" t="s">
        <v>321</v>
      </c>
      <c r="B86" s="32">
        <v>41154039</v>
      </c>
    </row>
    <row r="91" spans="1:4" x14ac:dyDescent="0.25">
      <c r="A91" s="14" t="s">
        <v>324</v>
      </c>
      <c r="B91" t="s">
        <v>382</v>
      </c>
    </row>
    <row r="92" spans="1:4" x14ac:dyDescent="0.25">
      <c r="A92" s="15" t="s">
        <v>8</v>
      </c>
      <c r="B92" s="13">
        <v>20.736842105263158</v>
      </c>
    </row>
    <row r="93" spans="1:4" x14ac:dyDescent="0.25">
      <c r="A93" s="15" t="s">
        <v>13</v>
      </c>
      <c r="B93" s="13">
        <v>21</v>
      </c>
    </row>
    <row r="94" spans="1:4" x14ac:dyDescent="0.25">
      <c r="A94" s="15" t="s">
        <v>17</v>
      </c>
      <c r="B94" s="13">
        <v>21.568627450980394</v>
      </c>
    </row>
    <row r="95" spans="1:4" x14ac:dyDescent="0.25">
      <c r="A95" s="15" t="s">
        <v>11</v>
      </c>
      <c r="B95" s="13">
        <v>22.125</v>
      </c>
    </row>
    <row r="96" spans="1:4" x14ac:dyDescent="0.25">
      <c r="A96" s="15" t="s">
        <v>10</v>
      </c>
      <c r="B96" s="13">
        <v>20.326086956521738</v>
      </c>
    </row>
    <row r="97" spans="1:2" x14ac:dyDescent="0.25">
      <c r="A97" s="15" t="s">
        <v>321</v>
      </c>
      <c r="B97" s="32">
        <v>21.152263374485596</v>
      </c>
    </row>
  </sheetData>
  <pageMargins left="0.7" right="0.7" top="0.75" bottom="0.75" header="0.3" footer="0.3"/>
  <drawing r:id="rId8"/>
  <extLst>
    <ext xmlns:x14="http://schemas.microsoft.com/office/spreadsheetml/2009/9/main" uri="{05C60535-1F16-4fd2-B633-F4F36F0B64E0}">
      <x14:sparklineGroups xmlns:xm="http://schemas.microsoft.com/office/excel/2006/main">
        <x14:sparklineGroup manualMax="0" manualMin="0" type="column" displayEmptyCellsAs="gap" high="1" xr2:uid="{D9341D8E-5803-4F2B-81D4-D0EF0E10B8AD}">
          <x14:colorSeries rgb="FF376092"/>
          <x14:colorNegative rgb="FFD00000"/>
          <x14:colorAxis rgb="FF000000"/>
          <x14:colorMarkers rgb="FFD00000"/>
          <x14:colorFirst rgb="FFD00000"/>
          <x14:colorLast rgb="FFD00000"/>
          <x14:colorHigh rgb="FFD00000"/>
          <x14:colorLow rgb="FFD00000"/>
          <x14:sparklines>
            <x14:sparkline>
              <xm:f>Charts!B81:B85</xm:f>
              <xm:sqref>D84</xm:sqref>
            </x14:sparkline>
          </x14:sparklines>
        </x14:sparklineGroup>
      </x14:sparklineGroups>
    </ext>
    <ext xmlns:x14="http://schemas.microsoft.com/office/spreadsheetml/2009/9/main" uri="{A8765BA9-456A-4dab-B4F3-ACF838C121DE}">
      <x14:slicerList>
        <x14:slicer r:id="rId9"/>
      </x14:slicerList>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T75"/>
  <sheetViews>
    <sheetView topLeftCell="A5" zoomScale="88" zoomScaleNormal="44" workbookViewId="0">
      <selection activeCell="A5" sqref="A5:T75"/>
    </sheetView>
  </sheetViews>
  <sheetFormatPr defaultRowHeight="15" x14ac:dyDescent="0.25"/>
  <sheetData>
    <row r="1" spans="1:46" x14ac:dyDescent="0.25">
      <c r="A1" s="28" t="s">
        <v>369</v>
      </c>
      <c r="B1" s="29"/>
      <c r="C1" s="29"/>
      <c r="D1" s="29"/>
      <c r="E1" s="29"/>
      <c r="F1" s="29"/>
      <c r="G1" s="29"/>
      <c r="H1" s="29"/>
      <c r="I1" s="29"/>
      <c r="J1" s="29"/>
      <c r="K1" s="29"/>
      <c r="L1" s="29"/>
      <c r="M1" s="29"/>
      <c r="N1" s="29"/>
      <c r="O1" s="29"/>
      <c r="P1" s="29"/>
      <c r="Q1" s="29"/>
      <c r="R1" s="29"/>
      <c r="S1" s="29"/>
      <c r="T1" s="29"/>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row>
    <row r="2" spans="1:46" x14ac:dyDescent="0.25">
      <c r="A2" s="29"/>
      <c r="B2" s="29"/>
      <c r="C2" s="29"/>
      <c r="D2" s="29"/>
      <c r="E2" s="29"/>
      <c r="F2" s="29"/>
      <c r="G2" s="29"/>
      <c r="H2" s="29"/>
      <c r="I2" s="29"/>
      <c r="J2" s="29"/>
      <c r="K2" s="29"/>
      <c r="L2" s="29"/>
      <c r="M2" s="29"/>
      <c r="N2" s="29"/>
      <c r="O2" s="29"/>
      <c r="P2" s="29"/>
      <c r="Q2" s="29"/>
      <c r="R2" s="29"/>
      <c r="S2" s="29"/>
      <c r="T2" s="29"/>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row>
    <row r="3" spans="1:46" x14ac:dyDescent="0.25">
      <c r="A3" s="29"/>
      <c r="B3" s="29"/>
      <c r="C3" s="29"/>
      <c r="D3" s="29"/>
      <c r="E3" s="29"/>
      <c r="F3" s="29"/>
      <c r="G3" s="29"/>
      <c r="H3" s="29"/>
      <c r="I3" s="29"/>
      <c r="J3" s="29"/>
      <c r="K3" s="29"/>
      <c r="L3" s="29"/>
      <c r="M3" s="29"/>
      <c r="N3" s="29"/>
      <c r="O3" s="29"/>
      <c r="P3" s="29"/>
      <c r="Q3" s="29"/>
      <c r="R3" s="29"/>
      <c r="S3" s="29"/>
      <c r="T3" s="29"/>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row>
    <row r="4" spans="1:46" x14ac:dyDescent="0.25">
      <c r="A4" s="29"/>
      <c r="B4" s="29"/>
      <c r="C4" s="29"/>
      <c r="D4" s="29"/>
      <c r="E4" s="29"/>
      <c r="F4" s="29"/>
      <c r="G4" s="29"/>
      <c r="H4" s="29"/>
      <c r="I4" s="29"/>
      <c r="J4" s="29"/>
      <c r="K4" s="29"/>
      <c r="L4" s="29"/>
      <c r="M4" s="29"/>
      <c r="N4" s="29"/>
      <c r="O4" s="29"/>
      <c r="P4" s="29"/>
      <c r="Q4" s="29"/>
      <c r="R4" s="29"/>
      <c r="S4" s="29"/>
      <c r="T4" s="29"/>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row>
    <row r="5" spans="1:46" x14ac:dyDescent="0.25">
      <c r="A5" s="30"/>
      <c r="B5" s="30"/>
      <c r="C5" s="30"/>
      <c r="D5" s="30"/>
      <c r="E5" s="30"/>
      <c r="F5" s="30"/>
      <c r="G5" s="30"/>
      <c r="H5" s="30"/>
      <c r="I5" s="30"/>
      <c r="J5" s="30"/>
      <c r="K5" s="30"/>
      <c r="L5" s="30"/>
      <c r="M5" s="30"/>
      <c r="N5" s="30"/>
      <c r="O5" s="30"/>
      <c r="P5" s="30"/>
      <c r="Q5" s="30"/>
      <c r="R5" s="30"/>
      <c r="S5" s="30"/>
      <c r="T5" s="30"/>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row>
    <row r="6" spans="1:46" x14ac:dyDescent="0.25">
      <c r="A6" s="30"/>
      <c r="B6" s="30"/>
      <c r="C6" s="30"/>
      <c r="D6" s="30"/>
      <c r="E6" s="30"/>
      <c r="F6" s="30"/>
      <c r="G6" s="30"/>
      <c r="H6" s="30"/>
      <c r="I6" s="30"/>
      <c r="J6" s="30"/>
      <c r="K6" s="30"/>
      <c r="L6" s="30"/>
      <c r="M6" s="30"/>
      <c r="N6" s="30"/>
      <c r="O6" s="30"/>
      <c r="P6" s="30"/>
      <c r="Q6" s="30"/>
      <c r="R6" s="30"/>
      <c r="S6" s="30"/>
      <c r="T6" s="30"/>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row>
    <row r="7" spans="1:46" x14ac:dyDescent="0.25">
      <c r="A7" s="30"/>
      <c r="B7" s="30"/>
      <c r="C7" s="30"/>
      <c r="D7" s="30"/>
      <c r="E7" s="30"/>
      <c r="F7" s="30"/>
      <c r="G7" s="30"/>
      <c r="H7" s="30"/>
      <c r="I7" s="30"/>
      <c r="J7" s="30"/>
      <c r="K7" s="30"/>
      <c r="L7" s="30"/>
      <c r="M7" s="30"/>
      <c r="N7" s="30"/>
      <c r="O7" s="30"/>
      <c r="P7" s="30"/>
      <c r="Q7" s="30"/>
      <c r="R7" s="30"/>
      <c r="S7" s="30"/>
      <c r="T7" s="30"/>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row>
    <row r="8" spans="1:46" x14ac:dyDescent="0.25">
      <c r="A8" s="30"/>
      <c r="B8" s="30"/>
      <c r="C8" s="30"/>
      <c r="D8" s="30"/>
      <c r="E8" s="30"/>
      <c r="F8" s="30"/>
      <c r="G8" s="30"/>
      <c r="H8" s="30"/>
      <c r="I8" s="30"/>
      <c r="J8" s="30"/>
      <c r="K8" s="30"/>
      <c r="L8" s="30"/>
      <c r="M8" s="30"/>
      <c r="N8" s="30"/>
      <c r="O8" s="30"/>
      <c r="P8" s="30"/>
      <c r="Q8" s="30"/>
      <c r="R8" s="30"/>
      <c r="S8" s="30"/>
      <c r="T8" s="30"/>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row>
    <row r="9" spans="1:46" x14ac:dyDescent="0.25">
      <c r="A9" s="30"/>
      <c r="B9" s="30"/>
      <c r="C9" s="30"/>
      <c r="D9" s="30"/>
      <c r="E9" s="30"/>
      <c r="F9" s="30"/>
      <c r="G9" s="30"/>
      <c r="H9" s="30"/>
      <c r="I9" s="30"/>
      <c r="J9" s="30"/>
      <c r="K9" s="30"/>
      <c r="L9" s="30"/>
      <c r="M9" s="30"/>
      <c r="N9" s="30"/>
      <c r="O9" s="30"/>
      <c r="P9" s="30"/>
      <c r="Q9" s="30"/>
      <c r="R9" s="30"/>
      <c r="S9" s="30"/>
      <c r="T9" s="30"/>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row>
    <row r="10" spans="1:46" x14ac:dyDescent="0.25">
      <c r="A10" s="30"/>
      <c r="B10" s="30"/>
      <c r="C10" s="30"/>
      <c r="D10" s="30"/>
      <c r="E10" s="30"/>
      <c r="F10" s="30"/>
      <c r="G10" s="30"/>
      <c r="H10" s="30"/>
      <c r="I10" s="30"/>
      <c r="J10" s="30"/>
      <c r="K10" s="30"/>
      <c r="L10" s="30"/>
      <c r="M10" s="30"/>
      <c r="N10" s="30"/>
      <c r="O10" s="30"/>
      <c r="P10" s="30"/>
      <c r="Q10" s="30"/>
      <c r="R10" s="30"/>
      <c r="S10" s="30"/>
      <c r="T10" s="30"/>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row>
    <row r="11" spans="1:46" x14ac:dyDescent="0.25">
      <c r="A11" s="30"/>
      <c r="B11" s="30"/>
      <c r="C11" s="30"/>
      <c r="D11" s="30"/>
      <c r="E11" s="30"/>
      <c r="F11" s="30"/>
      <c r="G11" s="30"/>
      <c r="H11" s="30"/>
      <c r="I11" s="30"/>
      <c r="J11" s="30"/>
      <c r="K11" s="30"/>
      <c r="L11" s="30"/>
      <c r="M11" s="30"/>
      <c r="N11" s="30"/>
      <c r="O11" s="30"/>
      <c r="P11" s="30"/>
      <c r="Q11" s="30"/>
      <c r="R11" s="30"/>
      <c r="S11" s="30"/>
      <c r="T11" s="30"/>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row>
    <row r="12" spans="1:46" x14ac:dyDescent="0.25">
      <c r="A12" s="30"/>
      <c r="B12" s="30"/>
      <c r="C12" s="30"/>
      <c r="D12" s="30"/>
      <c r="E12" s="30"/>
      <c r="F12" s="30"/>
      <c r="G12" s="30"/>
      <c r="H12" s="30"/>
      <c r="I12" s="30"/>
      <c r="J12" s="30"/>
      <c r="K12" s="30"/>
      <c r="L12" s="30"/>
      <c r="M12" s="30"/>
      <c r="N12" s="30"/>
      <c r="O12" s="30"/>
      <c r="P12" s="30"/>
      <c r="Q12" s="30"/>
      <c r="R12" s="30"/>
      <c r="S12" s="30"/>
      <c r="T12" s="30"/>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row>
    <row r="13" spans="1:46" x14ac:dyDescent="0.25">
      <c r="A13" s="30"/>
      <c r="B13" s="30"/>
      <c r="C13" s="30"/>
      <c r="D13" s="30"/>
      <c r="E13" s="30"/>
      <c r="F13" s="30"/>
      <c r="G13" s="30"/>
      <c r="H13" s="30"/>
      <c r="I13" s="30"/>
      <c r="J13" s="30"/>
      <c r="K13" s="30"/>
      <c r="L13" s="30"/>
      <c r="M13" s="30"/>
      <c r="N13" s="30"/>
      <c r="O13" s="30"/>
      <c r="P13" s="30"/>
      <c r="Q13" s="30"/>
      <c r="R13" s="30"/>
      <c r="S13" s="30"/>
      <c r="T13" s="30"/>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row>
    <row r="14" spans="1:46" x14ac:dyDescent="0.25">
      <c r="A14" s="30"/>
      <c r="B14" s="30"/>
      <c r="C14" s="30"/>
      <c r="D14" s="30"/>
      <c r="E14" s="30"/>
      <c r="F14" s="30"/>
      <c r="G14" s="30"/>
      <c r="H14" s="30"/>
      <c r="I14" s="30"/>
      <c r="J14" s="30"/>
      <c r="K14" s="30"/>
      <c r="L14" s="30"/>
      <c r="M14" s="30"/>
      <c r="N14" s="30"/>
      <c r="O14" s="30"/>
      <c r="P14" s="30"/>
      <c r="Q14" s="30"/>
      <c r="R14" s="30"/>
      <c r="S14" s="30"/>
      <c r="T14" s="30"/>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row>
    <row r="15" spans="1:46" x14ac:dyDescent="0.25">
      <c r="A15" s="30"/>
      <c r="B15" s="30"/>
      <c r="C15" s="30"/>
      <c r="D15" s="30"/>
      <c r="E15" s="30"/>
      <c r="F15" s="30"/>
      <c r="G15" s="30"/>
      <c r="H15" s="30"/>
      <c r="I15" s="30"/>
      <c r="J15" s="30"/>
      <c r="K15" s="30"/>
      <c r="L15" s="30"/>
      <c r="M15" s="30"/>
      <c r="N15" s="30"/>
      <c r="O15" s="30"/>
      <c r="P15" s="30"/>
      <c r="Q15" s="30"/>
      <c r="R15" s="30"/>
      <c r="S15" s="30"/>
      <c r="T15" s="30"/>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row>
    <row r="16" spans="1:46" x14ac:dyDescent="0.25">
      <c r="A16" s="30"/>
      <c r="B16" s="30"/>
      <c r="C16" s="30"/>
      <c r="D16" s="30"/>
      <c r="E16" s="30"/>
      <c r="F16" s="30"/>
      <c r="G16" s="30"/>
      <c r="H16" s="30"/>
      <c r="I16" s="30"/>
      <c r="J16" s="30"/>
      <c r="K16" s="30"/>
      <c r="L16" s="30"/>
      <c r="M16" s="30"/>
      <c r="N16" s="30"/>
      <c r="O16" s="30"/>
      <c r="P16" s="30"/>
      <c r="Q16" s="30"/>
      <c r="R16" s="30"/>
      <c r="S16" s="30"/>
      <c r="T16" s="30"/>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row>
    <row r="17" spans="1:46" x14ac:dyDescent="0.25">
      <c r="A17" s="30"/>
      <c r="B17" s="30"/>
      <c r="C17" s="30"/>
      <c r="D17" s="30"/>
      <c r="E17" s="30"/>
      <c r="F17" s="30"/>
      <c r="G17" s="30"/>
      <c r="H17" s="30"/>
      <c r="I17" s="30"/>
      <c r="J17" s="30"/>
      <c r="K17" s="30"/>
      <c r="L17" s="30"/>
      <c r="M17" s="30"/>
      <c r="N17" s="30"/>
      <c r="O17" s="30"/>
      <c r="P17" s="30"/>
      <c r="Q17" s="30"/>
      <c r="R17" s="30"/>
      <c r="S17" s="30"/>
      <c r="T17" s="30"/>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row>
    <row r="18" spans="1:46" x14ac:dyDescent="0.25">
      <c r="A18" s="30"/>
      <c r="B18" s="30"/>
      <c r="C18" s="30"/>
      <c r="D18" s="30"/>
      <c r="E18" s="30"/>
      <c r="F18" s="30"/>
      <c r="G18" s="30"/>
      <c r="H18" s="30"/>
      <c r="I18" s="30"/>
      <c r="J18" s="30"/>
      <c r="K18" s="30"/>
      <c r="L18" s="30"/>
      <c r="M18" s="30"/>
      <c r="N18" s="30"/>
      <c r="O18" s="30"/>
      <c r="P18" s="30"/>
      <c r="Q18" s="30"/>
      <c r="R18" s="30"/>
      <c r="S18" s="30"/>
      <c r="T18" s="30"/>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row>
    <row r="19" spans="1:46" x14ac:dyDescent="0.25">
      <c r="A19" s="30"/>
      <c r="B19" s="30"/>
      <c r="C19" s="30"/>
      <c r="D19" s="30"/>
      <c r="E19" s="30"/>
      <c r="F19" s="30"/>
      <c r="G19" s="30"/>
      <c r="H19" s="30"/>
      <c r="I19" s="30"/>
      <c r="J19" s="30"/>
      <c r="K19" s="30"/>
      <c r="L19" s="30"/>
      <c r="M19" s="30"/>
      <c r="N19" s="30"/>
      <c r="O19" s="30"/>
      <c r="P19" s="30"/>
      <c r="Q19" s="30"/>
      <c r="R19" s="30"/>
      <c r="S19" s="30"/>
      <c r="T19" s="30"/>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row>
    <row r="20" spans="1:46" x14ac:dyDescent="0.25">
      <c r="A20" s="30"/>
      <c r="B20" s="30"/>
      <c r="C20" s="30"/>
      <c r="D20" s="30"/>
      <c r="E20" s="30"/>
      <c r="F20" s="30"/>
      <c r="G20" s="30"/>
      <c r="H20" s="30"/>
      <c r="I20" s="30"/>
      <c r="J20" s="30"/>
      <c r="K20" s="30"/>
      <c r="L20" s="30"/>
      <c r="M20" s="30"/>
      <c r="N20" s="30"/>
      <c r="O20" s="30"/>
      <c r="P20" s="30"/>
      <c r="Q20" s="30"/>
      <c r="R20" s="30"/>
      <c r="S20" s="30"/>
      <c r="T20" s="30"/>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row>
    <row r="21" spans="1:46" x14ac:dyDescent="0.25">
      <c r="A21" s="30"/>
      <c r="B21" s="30"/>
      <c r="C21" s="30"/>
      <c r="D21" s="30"/>
      <c r="E21" s="30"/>
      <c r="F21" s="30"/>
      <c r="G21" s="30"/>
      <c r="H21" s="30"/>
      <c r="I21" s="30"/>
      <c r="J21" s="30"/>
      <c r="K21" s="30"/>
      <c r="L21" s="30"/>
      <c r="M21" s="30"/>
      <c r="N21" s="30"/>
      <c r="O21" s="30"/>
      <c r="P21" s="30"/>
      <c r="Q21" s="30"/>
      <c r="R21" s="30"/>
      <c r="S21" s="30"/>
      <c r="T21" s="30"/>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row>
    <row r="22" spans="1:46" x14ac:dyDescent="0.25">
      <c r="A22" s="30"/>
      <c r="B22" s="30"/>
      <c r="C22" s="30"/>
      <c r="D22" s="30"/>
      <c r="E22" s="30"/>
      <c r="F22" s="30"/>
      <c r="G22" s="30"/>
      <c r="H22" s="30"/>
      <c r="I22" s="30"/>
      <c r="J22" s="30"/>
      <c r="K22" s="30"/>
      <c r="L22" s="30"/>
      <c r="M22" s="30"/>
      <c r="N22" s="30"/>
      <c r="O22" s="30"/>
      <c r="P22" s="30"/>
      <c r="Q22" s="30"/>
      <c r="R22" s="30"/>
      <c r="S22" s="30"/>
      <c r="T22" s="30"/>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row>
    <row r="23" spans="1:46" x14ac:dyDescent="0.25">
      <c r="A23" s="30"/>
      <c r="B23" s="30"/>
      <c r="C23" s="30"/>
      <c r="D23" s="30"/>
      <c r="E23" s="30"/>
      <c r="F23" s="30"/>
      <c r="G23" s="30"/>
      <c r="H23" s="30"/>
      <c r="I23" s="30"/>
      <c r="J23" s="30"/>
      <c r="K23" s="30"/>
      <c r="L23" s="30"/>
      <c r="M23" s="30"/>
      <c r="N23" s="30"/>
      <c r="O23" s="30"/>
      <c r="P23" s="30"/>
      <c r="Q23" s="30"/>
      <c r="R23" s="30"/>
      <c r="S23" s="30"/>
      <c r="T23" s="30"/>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row>
    <row r="24" spans="1:46" x14ac:dyDescent="0.25">
      <c r="A24" s="30"/>
      <c r="B24" s="30"/>
      <c r="C24" s="30"/>
      <c r="D24" s="30"/>
      <c r="E24" s="30"/>
      <c r="F24" s="30"/>
      <c r="G24" s="30"/>
      <c r="H24" s="30"/>
      <c r="I24" s="30"/>
      <c r="J24" s="30"/>
      <c r="K24" s="30"/>
      <c r="L24" s="30"/>
      <c r="M24" s="30"/>
      <c r="N24" s="30"/>
      <c r="O24" s="30"/>
      <c r="P24" s="30"/>
      <c r="Q24" s="30"/>
      <c r="R24" s="30"/>
      <c r="S24" s="30"/>
      <c r="T24" s="30"/>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row>
    <row r="25" spans="1:46" x14ac:dyDescent="0.25">
      <c r="A25" s="30"/>
      <c r="B25" s="30"/>
      <c r="C25" s="30"/>
      <c r="D25" s="30"/>
      <c r="E25" s="30"/>
      <c r="F25" s="30"/>
      <c r="G25" s="30"/>
      <c r="H25" s="30"/>
      <c r="I25" s="30"/>
      <c r="J25" s="30"/>
      <c r="K25" s="30"/>
      <c r="L25" s="30"/>
      <c r="M25" s="30"/>
      <c r="N25" s="30"/>
      <c r="O25" s="30"/>
      <c r="P25" s="30"/>
      <c r="Q25" s="30"/>
      <c r="R25" s="30"/>
      <c r="S25" s="30"/>
      <c r="T25" s="30"/>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row>
    <row r="26" spans="1:46" x14ac:dyDescent="0.25">
      <c r="A26" s="30"/>
      <c r="B26" s="30"/>
      <c r="C26" s="30"/>
      <c r="D26" s="30"/>
      <c r="E26" s="30"/>
      <c r="F26" s="30"/>
      <c r="G26" s="30"/>
      <c r="H26" s="30"/>
      <c r="I26" s="30"/>
      <c r="J26" s="30"/>
      <c r="K26" s="30"/>
      <c r="L26" s="30"/>
      <c r="M26" s="30"/>
      <c r="N26" s="30"/>
      <c r="O26" s="30"/>
      <c r="P26" s="30"/>
      <c r="Q26" s="30"/>
      <c r="R26" s="30"/>
      <c r="S26" s="30"/>
      <c r="T26" s="30"/>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row>
    <row r="27" spans="1:46" x14ac:dyDescent="0.25">
      <c r="A27" s="30"/>
      <c r="B27" s="30"/>
      <c r="C27" s="30"/>
      <c r="D27" s="30"/>
      <c r="E27" s="30"/>
      <c r="F27" s="30"/>
      <c r="G27" s="30"/>
      <c r="H27" s="30"/>
      <c r="I27" s="30"/>
      <c r="J27" s="30"/>
      <c r="K27" s="30"/>
      <c r="L27" s="30"/>
      <c r="M27" s="30"/>
      <c r="N27" s="30"/>
      <c r="O27" s="30"/>
      <c r="P27" s="30"/>
      <c r="Q27" s="30"/>
      <c r="R27" s="30"/>
      <c r="S27" s="30"/>
      <c r="T27" s="30"/>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row>
    <row r="28" spans="1:46" x14ac:dyDescent="0.25">
      <c r="A28" s="30"/>
      <c r="B28" s="30"/>
      <c r="C28" s="30"/>
      <c r="D28" s="30"/>
      <c r="E28" s="30"/>
      <c r="F28" s="30"/>
      <c r="G28" s="30"/>
      <c r="H28" s="30"/>
      <c r="I28" s="30"/>
      <c r="J28" s="30"/>
      <c r="K28" s="30"/>
      <c r="L28" s="30"/>
      <c r="M28" s="30"/>
      <c r="N28" s="30"/>
      <c r="O28" s="30"/>
      <c r="P28" s="30"/>
      <c r="Q28" s="30"/>
      <c r="R28" s="30"/>
      <c r="S28" s="30"/>
      <c r="T28" s="30"/>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row>
    <row r="29" spans="1:46" x14ac:dyDescent="0.25">
      <c r="A29" s="30"/>
      <c r="B29" s="30"/>
      <c r="C29" s="30"/>
      <c r="D29" s="30"/>
      <c r="E29" s="30"/>
      <c r="F29" s="30"/>
      <c r="G29" s="30"/>
      <c r="H29" s="30"/>
      <c r="I29" s="30"/>
      <c r="J29" s="30"/>
      <c r="K29" s="30"/>
      <c r="L29" s="30"/>
      <c r="M29" s="30"/>
      <c r="N29" s="30"/>
      <c r="O29" s="30"/>
      <c r="P29" s="30"/>
      <c r="Q29" s="30"/>
      <c r="R29" s="30"/>
      <c r="S29" s="30"/>
      <c r="T29" s="30"/>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row>
    <row r="30" spans="1:46" x14ac:dyDescent="0.25">
      <c r="A30" s="30"/>
      <c r="B30" s="30"/>
      <c r="C30" s="30"/>
      <c r="D30" s="30"/>
      <c r="E30" s="30"/>
      <c r="F30" s="30"/>
      <c r="G30" s="30"/>
      <c r="H30" s="30"/>
      <c r="I30" s="30"/>
      <c r="J30" s="30"/>
      <c r="K30" s="30"/>
      <c r="L30" s="30"/>
      <c r="M30" s="30"/>
      <c r="N30" s="30"/>
      <c r="O30" s="30"/>
      <c r="P30" s="30"/>
      <c r="Q30" s="30"/>
      <c r="R30" s="30"/>
      <c r="S30" s="30"/>
      <c r="T30" s="30"/>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row>
    <row r="31" spans="1:46" x14ac:dyDescent="0.25">
      <c r="A31" s="30"/>
      <c r="B31" s="30"/>
      <c r="C31" s="30"/>
      <c r="D31" s="30"/>
      <c r="E31" s="30"/>
      <c r="F31" s="30"/>
      <c r="G31" s="30"/>
      <c r="H31" s="30"/>
      <c r="I31" s="30"/>
      <c r="J31" s="30"/>
      <c r="K31" s="30"/>
      <c r="L31" s="30"/>
      <c r="M31" s="30"/>
      <c r="N31" s="30"/>
      <c r="O31" s="30"/>
      <c r="P31" s="30"/>
      <c r="Q31" s="30"/>
      <c r="R31" s="30"/>
      <c r="S31" s="30"/>
      <c r="T31" s="30"/>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row>
    <row r="32" spans="1:46" x14ac:dyDescent="0.25">
      <c r="A32" s="30"/>
      <c r="B32" s="30"/>
      <c r="C32" s="30"/>
      <c r="D32" s="30"/>
      <c r="E32" s="30"/>
      <c r="F32" s="30"/>
      <c r="G32" s="30"/>
      <c r="H32" s="30"/>
      <c r="I32" s="30"/>
      <c r="J32" s="30"/>
      <c r="K32" s="30"/>
      <c r="L32" s="30"/>
      <c r="M32" s="30"/>
      <c r="N32" s="30"/>
      <c r="O32" s="30"/>
      <c r="P32" s="30"/>
      <c r="Q32" s="30"/>
      <c r="R32" s="30"/>
      <c r="S32" s="30"/>
      <c r="T32" s="30"/>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row>
    <row r="33" spans="1:46" x14ac:dyDescent="0.25">
      <c r="A33" s="30"/>
      <c r="B33" s="30"/>
      <c r="C33" s="30"/>
      <c r="D33" s="30"/>
      <c r="E33" s="30"/>
      <c r="F33" s="30"/>
      <c r="G33" s="30"/>
      <c r="H33" s="30"/>
      <c r="I33" s="30"/>
      <c r="J33" s="30"/>
      <c r="K33" s="30"/>
      <c r="L33" s="30"/>
      <c r="M33" s="30"/>
      <c r="N33" s="30"/>
      <c r="O33" s="30"/>
      <c r="P33" s="30"/>
      <c r="Q33" s="30"/>
      <c r="R33" s="30"/>
      <c r="S33" s="30"/>
      <c r="T33" s="30"/>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row>
    <row r="34" spans="1:46" x14ac:dyDescent="0.25">
      <c r="A34" s="30"/>
      <c r="B34" s="30"/>
      <c r="C34" s="30"/>
      <c r="D34" s="30"/>
      <c r="E34" s="30"/>
      <c r="F34" s="30"/>
      <c r="G34" s="30"/>
      <c r="H34" s="30"/>
      <c r="I34" s="30"/>
      <c r="J34" s="30"/>
      <c r="K34" s="30"/>
      <c r="L34" s="30"/>
      <c r="M34" s="30"/>
      <c r="N34" s="30"/>
      <c r="O34" s="30"/>
      <c r="P34" s="30"/>
      <c r="Q34" s="30"/>
      <c r="R34" s="30"/>
      <c r="S34" s="30"/>
      <c r="T34" s="30"/>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row>
    <row r="35" spans="1:46" x14ac:dyDescent="0.25">
      <c r="A35" s="30"/>
      <c r="B35" s="30"/>
      <c r="C35" s="30"/>
      <c r="D35" s="30"/>
      <c r="E35" s="30"/>
      <c r="F35" s="30"/>
      <c r="G35" s="30"/>
      <c r="H35" s="30"/>
      <c r="I35" s="30"/>
      <c r="J35" s="30"/>
      <c r="K35" s="30"/>
      <c r="L35" s="30"/>
      <c r="M35" s="30"/>
      <c r="N35" s="30"/>
      <c r="O35" s="30"/>
      <c r="P35" s="30"/>
      <c r="Q35" s="30"/>
      <c r="R35" s="30"/>
      <c r="S35" s="30"/>
      <c r="T35" s="30"/>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row>
    <row r="36" spans="1:46" x14ac:dyDescent="0.25">
      <c r="A36" s="30"/>
      <c r="B36" s="30"/>
      <c r="C36" s="30"/>
      <c r="D36" s="30"/>
      <c r="E36" s="30"/>
      <c r="F36" s="30"/>
      <c r="G36" s="30"/>
      <c r="H36" s="30"/>
      <c r="I36" s="30"/>
      <c r="J36" s="30"/>
      <c r="K36" s="30"/>
      <c r="L36" s="30"/>
      <c r="M36" s="30"/>
      <c r="N36" s="30"/>
      <c r="O36" s="30"/>
      <c r="P36" s="30"/>
      <c r="Q36" s="30"/>
      <c r="R36" s="30"/>
      <c r="S36" s="30"/>
      <c r="T36" s="30"/>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row>
    <row r="37" spans="1:46" x14ac:dyDescent="0.25">
      <c r="A37" s="30"/>
      <c r="B37" s="30"/>
      <c r="C37" s="30"/>
      <c r="D37" s="30"/>
      <c r="E37" s="30"/>
      <c r="F37" s="30"/>
      <c r="G37" s="30"/>
      <c r="H37" s="30"/>
      <c r="I37" s="30"/>
      <c r="J37" s="30"/>
      <c r="K37" s="30"/>
      <c r="L37" s="30"/>
      <c r="M37" s="30"/>
      <c r="N37" s="30"/>
      <c r="O37" s="30"/>
      <c r="P37" s="30"/>
      <c r="Q37" s="30"/>
      <c r="R37" s="30"/>
      <c r="S37" s="30"/>
      <c r="T37" s="30"/>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row>
    <row r="38" spans="1:46" x14ac:dyDescent="0.25">
      <c r="A38" s="30"/>
      <c r="B38" s="30"/>
      <c r="C38" s="30"/>
      <c r="D38" s="30"/>
      <c r="E38" s="30"/>
      <c r="F38" s="30"/>
      <c r="G38" s="30"/>
      <c r="H38" s="30"/>
      <c r="I38" s="30"/>
      <c r="J38" s="30"/>
      <c r="K38" s="30"/>
      <c r="L38" s="30"/>
      <c r="M38" s="30"/>
      <c r="N38" s="30"/>
      <c r="O38" s="30"/>
      <c r="P38" s="30"/>
      <c r="Q38" s="30"/>
      <c r="R38" s="30"/>
      <c r="S38" s="30"/>
      <c r="T38" s="30"/>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row>
    <row r="39" spans="1:46" x14ac:dyDescent="0.25">
      <c r="A39" s="30"/>
      <c r="B39" s="30"/>
      <c r="C39" s="30"/>
      <c r="D39" s="30"/>
      <c r="E39" s="30"/>
      <c r="F39" s="30"/>
      <c r="G39" s="30"/>
      <c r="H39" s="30"/>
      <c r="I39" s="30"/>
      <c r="J39" s="30"/>
      <c r="K39" s="30"/>
      <c r="L39" s="30"/>
      <c r="M39" s="30"/>
      <c r="N39" s="30"/>
      <c r="O39" s="30"/>
      <c r="P39" s="30"/>
      <c r="Q39" s="30"/>
      <c r="R39" s="30"/>
      <c r="S39" s="30"/>
      <c r="T39" s="30"/>
      <c r="U39" s="31"/>
      <c r="V39" s="31"/>
      <c r="W39" s="31"/>
      <c r="X39" s="31"/>
      <c r="Y39" s="31"/>
      <c r="Z39" s="31"/>
      <c r="AA39" s="31"/>
      <c r="AB39" s="31"/>
      <c r="AC39" s="31"/>
      <c r="AD39" s="31"/>
      <c r="AE39" s="31"/>
      <c r="AF39" s="31"/>
      <c r="AG39" s="31"/>
      <c r="AH39" s="31"/>
      <c r="AI39" s="31"/>
      <c r="AJ39" s="31"/>
      <c r="AK39" s="31"/>
      <c r="AL39" s="31"/>
      <c r="AM39" s="31"/>
      <c r="AN39" s="31"/>
      <c r="AO39" s="31"/>
      <c r="AP39" s="31"/>
      <c r="AQ39" s="31"/>
      <c r="AR39" s="31"/>
      <c r="AS39" s="31"/>
      <c r="AT39" s="31"/>
    </row>
    <row r="40" spans="1:46" x14ac:dyDescent="0.25">
      <c r="A40" s="30"/>
      <c r="B40" s="30"/>
      <c r="C40" s="30"/>
      <c r="D40" s="30"/>
      <c r="E40" s="30"/>
      <c r="F40" s="30"/>
      <c r="G40" s="30"/>
      <c r="H40" s="30"/>
      <c r="I40" s="30"/>
      <c r="J40" s="30"/>
      <c r="K40" s="30"/>
      <c r="L40" s="30"/>
      <c r="M40" s="30"/>
      <c r="N40" s="30"/>
      <c r="O40" s="30"/>
      <c r="P40" s="30"/>
      <c r="Q40" s="30"/>
      <c r="R40" s="30"/>
      <c r="S40" s="30"/>
      <c r="T40" s="30"/>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row>
    <row r="41" spans="1:46" x14ac:dyDescent="0.25">
      <c r="A41" s="30"/>
      <c r="B41" s="30"/>
      <c r="C41" s="30"/>
      <c r="D41" s="30"/>
      <c r="E41" s="30"/>
      <c r="F41" s="30"/>
      <c r="G41" s="30"/>
      <c r="H41" s="30"/>
      <c r="I41" s="30"/>
      <c r="J41" s="30"/>
      <c r="K41" s="30"/>
      <c r="L41" s="30"/>
      <c r="M41" s="30"/>
      <c r="N41" s="30"/>
      <c r="O41" s="30"/>
      <c r="P41" s="30"/>
      <c r="Q41" s="30"/>
      <c r="R41" s="30"/>
      <c r="S41" s="30"/>
      <c r="T41" s="30"/>
      <c r="U41" s="31"/>
      <c r="V41" s="31"/>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row>
    <row r="42" spans="1:46" x14ac:dyDescent="0.25">
      <c r="A42" s="30"/>
      <c r="B42" s="30"/>
      <c r="C42" s="30"/>
      <c r="D42" s="30"/>
      <c r="E42" s="30"/>
      <c r="F42" s="30"/>
      <c r="G42" s="30"/>
      <c r="H42" s="30"/>
      <c r="I42" s="30"/>
      <c r="J42" s="30"/>
      <c r="K42" s="30"/>
      <c r="L42" s="30"/>
      <c r="M42" s="30"/>
      <c r="N42" s="30"/>
      <c r="O42" s="30"/>
      <c r="P42" s="30"/>
      <c r="Q42" s="30"/>
      <c r="R42" s="30"/>
      <c r="S42" s="30"/>
      <c r="T42" s="30"/>
      <c r="U42" s="31"/>
      <c r="V42" s="31"/>
      <c r="W42" s="31"/>
      <c r="X42" s="31"/>
      <c r="Y42" s="31"/>
      <c r="Z42" s="31"/>
      <c r="AA42" s="31"/>
      <c r="AB42" s="31"/>
      <c r="AC42" s="31"/>
      <c r="AD42" s="31"/>
      <c r="AE42" s="31"/>
      <c r="AF42" s="31"/>
      <c r="AG42" s="31"/>
      <c r="AH42" s="31"/>
      <c r="AI42" s="31"/>
      <c r="AJ42" s="31"/>
      <c r="AK42" s="31"/>
      <c r="AL42" s="31"/>
      <c r="AM42" s="31"/>
      <c r="AN42" s="31"/>
      <c r="AO42" s="31"/>
      <c r="AP42" s="31"/>
      <c r="AQ42" s="31"/>
      <c r="AR42" s="31"/>
      <c r="AS42" s="31"/>
      <c r="AT42" s="31"/>
    </row>
    <row r="43" spans="1:46" x14ac:dyDescent="0.25">
      <c r="A43" s="30"/>
      <c r="B43" s="30"/>
      <c r="C43" s="30"/>
      <c r="D43" s="30"/>
      <c r="E43" s="30"/>
      <c r="F43" s="30"/>
      <c r="G43" s="30"/>
      <c r="H43" s="30"/>
      <c r="I43" s="30"/>
      <c r="J43" s="30"/>
      <c r="K43" s="30"/>
      <c r="L43" s="30"/>
      <c r="M43" s="30"/>
      <c r="N43" s="30"/>
      <c r="O43" s="30"/>
      <c r="P43" s="30"/>
      <c r="Q43" s="30"/>
      <c r="R43" s="30"/>
      <c r="S43" s="30"/>
      <c r="T43" s="30"/>
      <c r="U43" s="31"/>
      <c r="V43" s="31"/>
      <c r="W43" s="31"/>
      <c r="X43" s="31"/>
      <c r="Y43" s="31"/>
      <c r="Z43" s="31"/>
      <c r="AA43" s="31"/>
      <c r="AB43" s="31"/>
      <c r="AC43" s="31"/>
      <c r="AD43" s="31"/>
      <c r="AE43" s="31"/>
      <c r="AF43" s="31"/>
      <c r="AG43" s="31"/>
      <c r="AH43" s="31"/>
      <c r="AI43" s="31"/>
      <c r="AJ43" s="31"/>
      <c r="AK43" s="31"/>
      <c r="AL43" s="31"/>
      <c r="AM43" s="31"/>
      <c r="AN43" s="31"/>
      <c r="AO43" s="31"/>
      <c r="AP43" s="31"/>
      <c r="AQ43" s="31"/>
      <c r="AR43" s="31"/>
      <c r="AS43" s="31"/>
      <c r="AT43" s="31"/>
    </row>
    <row r="44" spans="1:46" x14ac:dyDescent="0.25">
      <c r="A44" s="30"/>
      <c r="B44" s="30"/>
      <c r="C44" s="30"/>
      <c r="D44" s="30"/>
      <c r="E44" s="30"/>
      <c r="F44" s="30"/>
      <c r="G44" s="30"/>
      <c r="H44" s="30"/>
      <c r="I44" s="30"/>
      <c r="J44" s="30"/>
      <c r="K44" s="30"/>
      <c r="L44" s="30"/>
      <c r="M44" s="30"/>
      <c r="N44" s="30"/>
      <c r="O44" s="30"/>
      <c r="P44" s="30"/>
      <c r="Q44" s="30"/>
      <c r="R44" s="30"/>
      <c r="S44" s="30"/>
      <c r="T44" s="30"/>
      <c r="U44" s="31"/>
      <c r="V44" s="31"/>
      <c r="W44" s="31"/>
      <c r="X44" s="31"/>
      <c r="Y44" s="31"/>
      <c r="Z44" s="31"/>
      <c r="AA44" s="31"/>
      <c r="AB44" s="31"/>
      <c r="AC44" s="31"/>
      <c r="AD44" s="31"/>
      <c r="AE44" s="31"/>
      <c r="AF44" s="31"/>
      <c r="AG44" s="31"/>
      <c r="AH44" s="31"/>
      <c r="AI44" s="31"/>
      <c r="AJ44" s="31"/>
      <c r="AK44" s="31"/>
      <c r="AL44" s="31"/>
      <c r="AM44" s="31"/>
      <c r="AN44" s="31"/>
      <c r="AO44" s="31"/>
      <c r="AP44" s="31"/>
      <c r="AQ44" s="31"/>
      <c r="AR44" s="31"/>
      <c r="AS44" s="31"/>
      <c r="AT44" s="31"/>
    </row>
    <row r="45" spans="1:46" x14ac:dyDescent="0.25">
      <c r="A45" s="30"/>
      <c r="B45" s="30"/>
      <c r="C45" s="30"/>
      <c r="D45" s="30"/>
      <c r="E45" s="30"/>
      <c r="F45" s="30"/>
      <c r="G45" s="30"/>
      <c r="H45" s="30"/>
      <c r="I45" s="30"/>
      <c r="J45" s="30"/>
      <c r="K45" s="30"/>
      <c r="L45" s="30"/>
      <c r="M45" s="30"/>
      <c r="N45" s="30"/>
      <c r="O45" s="30"/>
      <c r="P45" s="30"/>
      <c r="Q45" s="30"/>
      <c r="R45" s="30"/>
      <c r="S45" s="30"/>
      <c r="T45" s="30"/>
      <c r="U45" s="31"/>
      <c r="V45" s="31"/>
      <c r="W45" s="31"/>
      <c r="X45" s="31"/>
      <c r="Y45" s="31"/>
      <c r="Z45" s="31"/>
      <c r="AA45" s="31"/>
      <c r="AB45" s="31"/>
      <c r="AC45" s="31"/>
      <c r="AD45" s="31"/>
      <c r="AE45" s="31"/>
      <c r="AF45" s="31"/>
      <c r="AG45" s="31"/>
      <c r="AH45" s="31"/>
      <c r="AI45" s="31"/>
      <c r="AJ45" s="31"/>
      <c r="AK45" s="31"/>
      <c r="AL45" s="31"/>
      <c r="AM45" s="31"/>
      <c r="AN45" s="31"/>
      <c r="AO45" s="31"/>
      <c r="AP45" s="31"/>
      <c r="AQ45" s="31"/>
      <c r="AR45" s="31"/>
      <c r="AS45" s="31"/>
      <c r="AT45" s="31"/>
    </row>
    <row r="46" spans="1:46" x14ac:dyDescent="0.25">
      <c r="A46" s="30"/>
      <c r="B46" s="30"/>
      <c r="C46" s="30"/>
      <c r="D46" s="30"/>
      <c r="E46" s="30"/>
      <c r="F46" s="30"/>
      <c r="G46" s="30"/>
      <c r="H46" s="30"/>
      <c r="I46" s="30"/>
      <c r="J46" s="30"/>
      <c r="K46" s="30"/>
      <c r="L46" s="30"/>
      <c r="M46" s="30"/>
      <c r="N46" s="30"/>
      <c r="O46" s="30"/>
      <c r="P46" s="30"/>
      <c r="Q46" s="30"/>
      <c r="R46" s="30"/>
      <c r="S46" s="30"/>
      <c r="T46" s="30"/>
      <c r="U46" s="31"/>
      <c r="V46" s="31"/>
      <c r="W46" s="31"/>
      <c r="X46" s="31"/>
      <c r="Y46" s="31"/>
      <c r="Z46" s="31"/>
      <c r="AA46" s="31"/>
      <c r="AB46" s="31"/>
      <c r="AC46" s="31"/>
      <c r="AD46" s="31"/>
      <c r="AE46" s="31"/>
      <c r="AF46" s="31"/>
      <c r="AG46" s="31"/>
      <c r="AH46" s="31"/>
      <c r="AI46" s="31"/>
      <c r="AJ46" s="31"/>
      <c r="AK46" s="31"/>
      <c r="AL46" s="31"/>
      <c r="AM46" s="31"/>
      <c r="AN46" s="31"/>
      <c r="AO46" s="31"/>
      <c r="AP46" s="31"/>
      <c r="AQ46" s="31"/>
      <c r="AR46" s="31"/>
      <c r="AS46" s="31"/>
      <c r="AT46" s="31"/>
    </row>
    <row r="47" spans="1:46" x14ac:dyDescent="0.25">
      <c r="A47" s="30"/>
      <c r="B47" s="30"/>
      <c r="C47" s="30"/>
      <c r="D47" s="30"/>
      <c r="E47" s="30"/>
      <c r="F47" s="30"/>
      <c r="G47" s="30"/>
      <c r="H47" s="30"/>
      <c r="I47" s="30"/>
      <c r="J47" s="30"/>
      <c r="K47" s="30"/>
      <c r="L47" s="30"/>
      <c r="M47" s="30"/>
      <c r="N47" s="30"/>
      <c r="O47" s="30"/>
      <c r="P47" s="30"/>
      <c r="Q47" s="30"/>
      <c r="R47" s="30"/>
      <c r="S47" s="30"/>
      <c r="T47" s="30"/>
      <c r="U47" s="31"/>
      <c r="V47" s="31"/>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row>
    <row r="48" spans="1:46" x14ac:dyDescent="0.25">
      <c r="A48" s="30"/>
      <c r="B48" s="30"/>
      <c r="C48" s="30"/>
      <c r="D48" s="30"/>
      <c r="E48" s="30"/>
      <c r="F48" s="30"/>
      <c r="G48" s="30"/>
      <c r="H48" s="30"/>
      <c r="I48" s="30"/>
      <c r="J48" s="30"/>
      <c r="K48" s="30"/>
      <c r="L48" s="30"/>
      <c r="M48" s="30"/>
      <c r="N48" s="30"/>
      <c r="O48" s="30"/>
      <c r="P48" s="30"/>
      <c r="Q48" s="30"/>
      <c r="R48" s="30"/>
      <c r="S48" s="30"/>
      <c r="T48" s="30"/>
      <c r="U48" s="31"/>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row>
    <row r="49" spans="1:46" x14ac:dyDescent="0.25">
      <c r="A49" s="30"/>
      <c r="B49" s="30"/>
      <c r="C49" s="30"/>
      <c r="D49" s="30"/>
      <c r="E49" s="30"/>
      <c r="F49" s="30"/>
      <c r="G49" s="30"/>
      <c r="H49" s="30"/>
      <c r="I49" s="30"/>
      <c r="J49" s="30"/>
      <c r="K49" s="30"/>
      <c r="L49" s="30"/>
      <c r="M49" s="30"/>
      <c r="N49" s="30"/>
      <c r="O49" s="30"/>
      <c r="P49" s="30"/>
      <c r="Q49" s="30"/>
      <c r="R49" s="30"/>
      <c r="S49" s="30"/>
      <c r="T49" s="30"/>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row>
    <row r="50" spans="1:46" x14ac:dyDescent="0.25">
      <c r="A50" s="30"/>
      <c r="B50" s="30"/>
      <c r="C50" s="30"/>
      <c r="D50" s="30"/>
      <c r="E50" s="30"/>
      <c r="F50" s="30"/>
      <c r="G50" s="30"/>
      <c r="H50" s="30"/>
      <c r="I50" s="30"/>
      <c r="J50" s="30"/>
      <c r="K50" s="30"/>
      <c r="L50" s="30"/>
      <c r="M50" s="30"/>
      <c r="N50" s="30"/>
      <c r="O50" s="30"/>
      <c r="P50" s="30"/>
      <c r="Q50" s="30"/>
      <c r="R50" s="30"/>
      <c r="S50" s="30"/>
      <c r="T50" s="30"/>
      <c r="U50" s="31"/>
      <c r="V50" s="31"/>
      <c r="W50" s="31"/>
      <c r="X50" s="31"/>
      <c r="Y50" s="31"/>
      <c r="Z50" s="31"/>
      <c r="AA50" s="31"/>
      <c r="AB50" s="31"/>
      <c r="AC50" s="31"/>
      <c r="AD50" s="31"/>
      <c r="AE50" s="31"/>
      <c r="AF50" s="31"/>
      <c r="AG50" s="31"/>
      <c r="AH50" s="31"/>
      <c r="AI50" s="31"/>
      <c r="AJ50" s="31"/>
      <c r="AK50" s="31"/>
      <c r="AL50" s="31"/>
      <c r="AM50" s="31"/>
      <c r="AN50" s="31"/>
      <c r="AO50" s="31"/>
      <c r="AP50" s="31"/>
      <c r="AQ50" s="31"/>
      <c r="AR50" s="31"/>
      <c r="AS50" s="31"/>
      <c r="AT50" s="31"/>
    </row>
    <row r="51" spans="1:46" x14ac:dyDescent="0.25">
      <c r="A51" s="30"/>
      <c r="B51" s="30"/>
      <c r="C51" s="30"/>
      <c r="D51" s="30"/>
      <c r="E51" s="30"/>
      <c r="F51" s="30"/>
      <c r="G51" s="30"/>
      <c r="H51" s="30"/>
      <c r="I51" s="30"/>
      <c r="J51" s="30"/>
      <c r="K51" s="30"/>
      <c r="L51" s="30"/>
      <c r="M51" s="30"/>
      <c r="N51" s="30"/>
      <c r="O51" s="30"/>
      <c r="P51" s="30"/>
      <c r="Q51" s="30"/>
      <c r="R51" s="30"/>
      <c r="S51" s="30"/>
      <c r="T51" s="30"/>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row>
    <row r="52" spans="1:46" x14ac:dyDescent="0.25">
      <c r="A52" s="30"/>
      <c r="B52" s="30"/>
      <c r="C52" s="30"/>
      <c r="D52" s="30"/>
      <c r="E52" s="30"/>
      <c r="F52" s="30"/>
      <c r="G52" s="30"/>
      <c r="H52" s="30"/>
      <c r="I52" s="30"/>
      <c r="J52" s="30"/>
      <c r="K52" s="30"/>
      <c r="L52" s="30"/>
      <c r="M52" s="30"/>
      <c r="N52" s="30"/>
      <c r="O52" s="30"/>
      <c r="P52" s="30"/>
      <c r="Q52" s="30"/>
      <c r="R52" s="30"/>
      <c r="S52" s="30"/>
      <c r="T52" s="30"/>
      <c r="U52" s="31"/>
      <c r="V52" s="31"/>
      <c r="W52" s="31"/>
      <c r="X52" s="31"/>
      <c r="Y52" s="31"/>
      <c r="Z52" s="31"/>
      <c r="AA52" s="31"/>
      <c r="AB52" s="31"/>
      <c r="AC52" s="31"/>
      <c r="AD52" s="31"/>
      <c r="AE52" s="31"/>
      <c r="AF52" s="31"/>
      <c r="AG52" s="31"/>
      <c r="AH52" s="31"/>
      <c r="AI52" s="31"/>
      <c r="AJ52" s="31"/>
      <c r="AK52" s="31"/>
      <c r="AL52" s="31"/>
      <c r="AM52" s="31"/>
      <c r="AN52" s="31"/>
      <c r="AO52" s="31"/>
      <c r="AP52" s="31"/>
      <c r="AQ52" s="31"/>
      <c r="AR52" s="31"/>
      <c r="AS52" s="31"/>
      <c r="AT52" s="31"/>
    </row>
    <row r="53" spans="1:46" x14ac:dyDescent="0.25">
      <c r="A53" s="30"/>
      <c r="B53" s="30"/>
      <c r="C53" s="30"/>
      <c r="D53" s="30"/>
      <c r="E53" s="30"/>
      <c r="F53" s="30"/>
      <c r="G53" s="30"/>
      <c r="H53" s="30"/>
      <c r="I53" s="30"/>
      <c r="J53" s="30"/>
      <c r="K53" s="30"/>
      <c r="L53" s="30"/>
      <c r="M53" s="30"/>
      <c r="N53" s="30"/>
      <c r="O53" s="30"/>
      <c r="P53" s="30"/>
      <c r="Q53" s="30"/>
      <c r="R53" s="30"/>
      <c r="S53" s="30"/>
      <c r="T53" s="30"/>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row>
    <row r="54" spans="1:46" x14ac:dyDescent="0.25">
      <c r="A54" s="30"/>
      <c r="B54" s="30"/>
      <c r="C54" s="30"/>
      <c r="D54" s="30"/>
      <c r="E54" s="30"/>
      <c r="F54" s="30"/>
      <c r="G54" s="30"/>
      <c r="H54" s="30"/>
      <c r="I54" s="30"/>
      <c r="J54" s="30"/>
      <c r="K54" s="30"/>
      <c r="L54" s="30"/>
      <c r="M54" s="30"/>
      <c r="N54" s="30"/>
      <c r="O54" s="30"/>
      <c r="P54" s="30"/>
      <c r="Q54" s="30"/>
      <c r="R54" s="30"/>
      <c r="S54" s="30"/>
      <c r="T54" s="30"/>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row>
    <row r="55" spans="1:46" x14ac:dyDescent="0.25">
      <c r="A55" s="30"/>
      <c r="B55" s="30"/>
      <c r="C55" s="30"/>
      <c r="D55" s="30"/>
      <c r="E55" s="30"/>
      <c r="F55" s="30"/>
      <c r="G55" s="30"/>
      <c r="H55" s="30"/>
      <c r="I55" s="30"/>
      <c r="J55" s="30"/>
      <c r="K55" s="30"/>
      <c r="L55" s="30"/>
      <c r="M55" s="30"/>
      <c r="N55" s="30"/>
      <c r="O55" s="30"/>
      <c r="P55" s="30"/>
      <c r="Q55" s="30"/>
      <c r="R55" s="30"/>
      <c r="S55" s="30"/>
      <c r="T55" s="30"/>
      <c r="U55" s="31"/>
      <c r="V55" s="31"/>
      <c r="W55" s="31"/>
      <c r="X55" s="31"/>
      <c r="Y55" s="31"/>
      <c r="Z55" s="31"/>
      <c r="AA55" s="31"/>
      <c r="AB55" s="31"/>
      <c r="AC55" s="31"/>
      <c r="AD55" s="31"/>
      <c r="AE55" s="31"/>
      <c r="AF55" s="31"/>
      <c r="AG55" s="31"/>
      <c r="AH55" s="31"/>
      <c r="AI55" s="31"/>
      <c r="AJ55" s="31"/>
      <c r="AK55" s="31"/>
      <c r="AL55" s="31"/>
      <c r="AM55" s="31"/>
      <c r="AN55" s="31"/>
      <c r="AO55" s="31"/>
      <c r="AP55" s="31"/>
      <c r="AQ55" s="31"/>
      <c r="AR55" s="31"/>
      <c r="AS55" s="31"/>
      <c r="AT55" s="31"/>
    </row>
    <row r="56" spans="1:46" x14ac:dyDescent="0.25">
      <c r="A56" s="30"/>
      <c r="B56" s="30"/>
      <c r="C56" s="30"/>
      <c r="D56" s="30"/>
      <c r="E56" s="30"/>
      <c r="F56" s="30"/>
      <c r="G56" s="30"/>
      <c r="H56" s="30"/>
      <c r="I56" s="30"/>
      <c r="J56" s="30"/>
      <c r="K56" s="30"/>
      <c r="L56" s="30"/>
      <c r="M56" s="30"/>
      <c r="N56" s="30"/>
      <c r="O56" s="30"/>
      <c r="P56" s="30"/>
      <c r="Q56" s="30"/>
      <c r="R56" s="30"/>
      <c r="S56" s="30"/>
      <c r="T56" s="30"/>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row>
    <row r="57" spans="1:46" x14ac:dyDescent="0.25">
      <c r="A57" s="30"/>
      <c r="B57" s="30"/>
      <c r="C57" s="30"/>
      <c r="D57" s="30"/>
      <c r="E57" s="30"/>
      <c r="F57" s="30"/>
      <c r="G57" s="30"/>
      <c r="H57" s="30"/>
      <c r="I57" s="30"/>
      <c r="J57" s="30"/>
      <c r="K57" s="30"/>
      <c r="L57" s="30"/>
      <c r="M57" s="30"/>
      <c r="N57" s="30"/>
      <c r="O57" s="30"/>
      <c r="P57" s="30"/>
      <c r="Q57" s="30"/>
      <c r="R57" s="30"/>
      <c r="S57" s="30"/>
      <c r="T57" s="30"/>
      <c r="U57" s="31"/>
      <c r="V57" s="31"/>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row>
    <row r="58" spans="1:46" x14ac:dyDescent="0.25">
      <c r="A58" s="30"/>
      <c r="B58" s="30"/>
      <c r="C58" s="30"/>
      <c r="D58" s="30"/>
      <c r="E58" s="30"/>
      <c r="F58" s="30"/>
      <c r="G58" s="30"/>
      <c r="H58" s="30"/>
      <c r="I58" s="30"/>
      <c r="J58" s="30"/>
      <c r="K58" s="30"/>
      <c r="L58" s="30"/>
      <c r="M58" s="30"/>
      <c r="N58" s="30"/>
      <c r="O58" s="30"/>
      <c r="P58" s="30"/>
      <c r="Q58" s="30"/>
      <c r="R58" s="30"/>
      <c r="S58" s="30"/>
      <c r="T58" s="30"/>
      <c r="U58" s="31"/>
      <c r="V58" s="31"/>
      <c r="W58" s="31"/>
      <c r="X58" s="31"/>
      <c r="Y58" s="31"/>
      <c r="Z58" s="31"/>
      <c r="AA58" s="31"/>
      <c r="AB58" s="31"/>
      <c r="AC58" s="31"/>
      <c r="AD58" s="31"/>
      <c r="AE58" s="31"/>
      <c r="AF58" s="31"/>
      <c r="AG58" s="31"/>
      <c r="AH58" s="31"/>
      <c r="AI58" s="31"/>
      <c r="AJ58" s="31"/>
      <c r="AK58" s="31"/>
      <c r="AL58" s="31"/>
      <c r="AM58" s="31"/>
      <c r="AN58" s="31"/>
      <c r="AO58" s="31"/>
      <c r="AP58" s="31"/>
      <c r="AQ58" s="31"/>
      <c r="AR58" s="31"/>
      <c r="AS58" s="31"/>
      <c r="AT58" s="31"/>
    </row>
    <row r="59" spans="1:46" x14ac:dyDescent="0.25">
      <c r="A59" s="30"/>
      <c r="B59" s="30"/>
      <c r="C59" s="30"/>
      <c r="D59" s="30"/>
      <c r="E59" s="30"/>
      <c r="F59" s="30"/>
      <c r="G59" s="30"/>
      <c r="H59" s="30"/>
      <c r="I59" s="30"/>
      <c r="J59" s="30"/>
      <c r="K59" s="30"/>
      <c r="L59" s="30"/>
      <c r="M59" s="30"/>
      <c r="N59" s="30"/>
      <c r="O59" s="30"/>
      <c r="P59" s="30"/>
      <c r="Q59" s="30"/>
      <c r="R59" s="30"/>
      <c r="S59" s="30"/>
      <c r="T59" s="30"/>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row>
    <row r="60" spans="1:46" x14ac:dyDescent="0.25">
      <c r="A60" s="30"/>
      <c r="B60" s="30"/>
      <c r="C60" s="30"/>
      <c r="D60" s="30"/>
      <c r="E60" s="30"/>
      <c r="F60" s="30"/>
      <c r="G60" s="30"/>
      <c r="H60" s="30"/>
      <c r="I60" s="30"/>
      <c r="J60" s="30"/>
      <c r="K60" s="30"/>
      <c r="L60" s="30"/>
      <c r="M60" s="30"/>
      <c r="N60" s="30"/>
      <c r="O60" s="30"/>
      <c r="P60" s="30"/>
      <c r="Q60" s="30"/>
      <c r="R60" s="30"/>
      <c r="S60" s="30"/>
      <c r="T60" s="30"/>
      <c r="U60" s="31"/>
      <c r="V60" s="31"/>
      <c r="W60" s="31"/>
      <c r="X60" s="31"/>
      <c r="Y60" s="31"/>
      <c r="Z60" s="31"/>
      <c r="AA60" s="31"/>
      <c r="AB60" s="31"/>
      <c r="AC60" s="31"/>
      <c r="AD60" s="31"/>
      <c r="AE60" s="31"/>
      <c r="AF60" s="31"/>
      <c r="AG60" s="31"/>
      <c r="AH60" s="31"/>
      <c r="AI60" s="31"/>
      <c r="AJ60" s="31"/>
      <c r="AK60" s="31"/>
      <c r="AL60" s="31"/>
      <c r="AM60" s="31"/>
      <c r="AN60" s="31"/>
      <c r="AO60" s="31"/>
      <c r="AP60" s="31"/>
      <c r="AQ60" s="31"/>
      <c r="AR60" s="31"/>
      <c r="AS60" s="31"/>
      <c r="AT60" s="31"/>
    </row>
    <row r="61" spans="1:46" x14ac:dyDescent="0.25">
      <c r="A61" s="30"/>
      <c r="B61" s="30"/>
      <c r="C61" s="30"/>
      <c r="D61" s="30"/>
      <c r="E61" s="30"/>
      <c r="F61" s="30"/>
      <c r="G61" s="30"/>
      <c r="H61" s="30"/>
      <c r="I61" s="30"/>
      <c r="J61" s="30"/>
      <c r="K61" s="30"/>
      <c r="L61" s="30"/>
      <c r="M61" s="30"/>
      <c r="N61" s="30"/>
      <c r="O61" s="30"/>
      <c r="P61" s="30"/>
      <c r="Q61" s="30"/>
      <c r="R61" s="30"/>
      <c r="S61" s="30"/>
      <c r="T61" s="30"/>
      <c r="U61" s="31"/>
      <c r="V61" s="31"/>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row>
    <row r="62" spans="1:46" x14ac:dyDescent="0.25">
      <c r="A62" s="30"/>
      <c r="B62" s="30"/>
      <c r="C62" s="30"/>
      <c r="D62" s="30"/>
      <c r="E62" s="30"/>
      <c r="F62" s="30"/>
      <c r="G62" s="30"/>
      <c r="H62" s="30"/>
      <c r="I62" s="30"/>
      <c r="J62" s="30"/>
      <c r="K62" s="30"/>
      <c r="L62" s="30"/>
      <c r="M62" s="30"/>
      <c r="N62" s="30"/>
      <c r="O62" s="30"/>
      <c r="P62" s="30"/>
      <c r="Q62" s="30"/>
      <c r="R62" s="30"/>
      <c r="S62" s="30"/>
      <c r="T62" s="30"/>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row>
    <row r="63" spans="1:46" x14ac:dyDescent="0.25">
      <c r="A63" s="30"/>
      <c r="B63" s="30"/>
      <c r="C63" s="30"/>
      <c r="D63" s="30"/>
      <c r="E63" s="30"/>
      <c r="F63" s="30"/>
      <c r="G63" s="30"/>
      <c r="H63" s="30"/>
      <c r="I63" s="30"/>
      <c r="J63" s="30"/>
      <c r="K63" s="30"/>
      <c r="L63" s="30"/>
      <c r="M63" s="30"/>
      <c r="N63" s="30"/>
      <c r="O63" s="30"/>
      <c r="P63" s="30"/>
      <c r="Q63" s="30"/>
      <c r="R63" s="30"/>
      <c r="S63" s="30"/>
      <c r="T63" s="30"/>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row>
    <row r="64" spans="1:46" x14ac:dyDescent="0.25">
      <c r="A64" s="30"/>
      <c r="B64" s="30"/>
      <c r="C64" s="30"/>
      <c r="D64" s="30"/>
      <c r="E64" s="30"/>
      <c r="F64" s="30"/>
      <c r="G64" s="30"/>
      <c r="H64" s="30"/>
      <c r="I64" s="30"/>
      <c r="J64" s="30"/>
      <c r="K64" s="30"/>
      <c r="L64" s="30"/>
      <c r="M64" s="30"/>
      <c r="N64" s="30"/>
      <c r="O64" s="30"/>
      <c r="P64" s="30"/>
      <c r="Q64" s="30"/>
      <c r="R64" s="30"/>
      <c r="S64" s="30"/>
      <c r="T64" s="30"/>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row>
    <row r="65" spans="1:46" x14ac:dyDescent="0.25">
      <c r="A65" s="30"/>
      <c r="B65" s="30"/>
      <c r="C65" s="30"/>
      <c r="D65" s="30"/>
      <c r="E65" s="30"/>
      <c r="F65" s="30"/>
      <c r="G65" s="30"/>
      <c r="H65" s="30"/>
      <c r="I65" s="30"/>
      <c r="J65" s="30"/>
      <c r="K65" s="30"/>
      <c r="L65" s="30"/>
      <c r="M65" s="30"/>
      <c r="N65" s="30"/>
      <c r="O65" s="30"/>
      <c r="P65" s="30"/>
      <c r="Q65" s="30"/>
      <c r="R65" s="30"/>
      <c r="S65" s="30"/>
      <c r="T65" s="30"/>
      <c r="U65" s="31"/>
      <c r="V65" s="31"/>
      <c r="W65" s="31"/>
      <c r="X65" s="31"/>
      <c r="Y65" s="31"/>
      <c r="Z65" s="31"/>
      <c r="AA65" s="31"/>
      <c r="AB65" s="31"/>
      <c r="AC65" s="31"/>
      <c r="AD65" s="31"/>
      <c r="AE65" s="31"/>
      <c r="AF65" s="31"/>
      <c r="AG65" s="31"/>
      <c r="AH65" s="31"/>
      <c r="AI65" s="31"/>
      <c r="AJ65" s="31"/>
      <c r="AK65" s="31"/>
      <c r="AL65" s="31"/>
      <c r="AM65" s="31"/>
      <c r="AN65" s="31"/>
      <c r="AO65" s="31"/>
      <c r="AP65" s="31"/>
      <c r="AQ65" s="31"/>
      <c r="AR65" s="31"/>
      <c r="AS65" s="31"/>
      <c r="AT65" s="31"/>
    </row>
    <row r="66" spans="1:46" x14ac:dyDescent="0.25">
      <c r="A66" s="30"/>
      <c r="B66" s="30"/>
      <c r="C66" s="30"/>
      <c r="D66" s="30"/>
      <c r="E66" s="30"/>
      <c r="F66" s="30"/>
      <c r="G66" s="30"/>
      <c r="H66" s="30"/>
      <c r="I66" s="30"/>
      <c r="J66" s="30"/>
      <c r="K66" s="30"/>
      <c r="L66" s="30"/>
      <c r="M66" s="30"/>
      <c r="N66" s="30"/>
      <c r="O66" s="30"/>
      <c r="P66" s="30"/>
      <c r="Q66" s="30"/>
      <c r="R66" s="30"/>
      <c r="S66" s="30"/>
      <c r="T66" s="30"/>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row>
    <row r="67" spans="1:46" x14ac:dyDescent="0.25">
      <c r="A67" s="30"/>
      <c r="B67" s="30"/>
      <c r="C67" s="30"/>
      <c r="D67" s="30"/>
      <c r="E67" s="30"/>
      <c r="F67" s="30"/>
      <c r="G67" s="30"/>
      <c r="H67" s="30"/>
      <c r="I67" s="30"/>
      <c r="J67" s="30"/>
      <c r="K67" s="30"/>
      <c r="L67" s="30"/>
      <c r="M67" s="30"/>
      <c r="N67" s="30"/>
      <c r="O67" s="30"/>
      <c r="P67" s="30"/>
      <c r="Q67" s="30"/>
      <c r="R67" s="30"/>
      <c r="S67" s="30"/>
      <c r="T67" s="30"/>
      <c r="U67" s="31"/>
      <c r="V67" s="31"/>
      <c r="W67" s="31"/>
      <c r="X67" s="31"/>
      <c r="Y67" s="31"/>
      <c r="Z67" s="31"/>
      <c r="AA67" s="31"/>
      <c r="AB67" s="31"/>
      <c r="AC67" s="31"/>
      <c r="AD67" s="31"/>
      <c r="AE67" s="31"/>
      <c r="AF67" s="31"/>
      <c r="AG67" s="31"/>
      <c r="AH67" s="31"/>
      <c r="AI67" s="31"/>
      <c r="AJ67" s="31"/>
      <c r="AK67" s="31"/>
      <c r="AL67" s="31"/>
      <c r="AM67" s="31"/>
      <c r="AN67" s="31"/>
      <c r="AO67" s="31"/>
      <c r="AP67" s="31"/>
      <c r="AQ67" s="31"/>
      <c r="AR67" s="31"/>
      <c r="AS67" s="31"/>
      <c r="AT67" s="31"/>
    </row>
    <row r="68" spans="1:46" x14ac:dyDescent="0.25">
      <c r="A68" s="30"/>
      <c r="B68" s="30"/>
      <c r="C68" s="30"/>
      <c r="D68" s="30"/>
      <c r="E68" s="30"/>
      <c r="F68" s="30"/>
      <c r="G68" s="30"/>
      <c r="H68" s="30"/>
      <c r="I68" s="30"/>
      <c r="J68" s="30"/>
      <c r="K68" s="30"/>
      <c r="L68" s="30"/>
      <c r="M68" s="30"/>
      <c r="N68" s="30"/>
      <c r="O68" s="30"/>
      <c r="P68" s="30"/>
      <c r="Q68" s="30"/>
      <c r="R68" s="30"/>
      <c r="S68" s="30"/>
      <c r="T68" s="30"/>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1"/>
    </row>
    <row r="69" spans="1:46" x14ac:dyDescent="0.25">
      <c r="A69" s="30"/>
      <c r="B69" s="30"/>
      <c r="C69" s="30"/>
      <c r="D69" s="30"/>
      <c r="E69" s="30"/>
      <c r="F69" s="30"/>
      <c r="G69" s="30"/>
      <c r="H69" s="30"/>
      <c r="I69" s="30"/>
      <c r="J69" s="30"/>
      <c r="K69" s="30"/>
      <c r="L69" s="30"/>
      <c r="M69" s="30"/>
      <c r="N69" s="30"/>
      <c r="O69" s="30"/>
      <c r="P69" s="30"/>
      <c r="Q69" s="30"/>
      <c r="R69" s="30"/>
      <c r="S69" s="30"/>
      <c r="T69" s="30"/>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31"/>
    </row>
    <row r="70" spans="1:46" x14ac:dyDescent="0.25">
      <c r="A70" s="30"/>
      <c r="B70" s="30"/>
      <c r="C70" s="30"/>
      <c r="D70" s="30"/>
      <c r="E70" s="30"/>
      <c r="F70" s="30"/>
      <c r="G70" s="30"/>
      <c r="H70" s="30"/>
      <c r="I70" s="30"/>
      <c r="J70" s="30"/>
      <c r="K70" s="30"/>
      <c r="L70" s="30"/>
      <c r="M70" s="30"/>
      <c r="N70" s="30"/>
      <c r="O70" s="30"/>
      <c r="P70" s="30"/>
      <c r="Q70" s="30"/>
      <c r="R70" s="30"/>
      <c r="S70" s="30"/>
      <c r="T70" s="30"/>
      <c r="U70" s="31"/>
      <c r="V70" s="31"/>
      <c r="W70" s="31"/>
      <c r="X70" s="31"/>
      <c r="Y70" s="31"/>
      <c r="Z70" s="31"/>
      <c r="AA70" s="31"/>
      <c r="AB70" s="31"/>
      <c r="AC70" s="31"/>
      <c r="AD70" s="31"/>
      <c r="AE70" s="31"/>
      <c r="AF70" s="31"/>
      <c r="AG70" s="31"/>
      <c r="AH70" s="31"/>
      <c r="AI70" s="31"/>
      <c r="AJ70" s="31"/>
      <c r="AK70" s="31"/>
      <c r="AL70" s="31"/>
      <c r="AM70" s="31"/>
      <c r="AN70" s="31"/>
      <c r="AO70" s="31"/>
      <c r="AP70" s="31"/>
      <c r="AQ70" s="31"/>
      <c r="AR70" s="31"/>
      <c r="AS70" s="31"/>
      <c r="AT70" s="31"/>
    </row>
    <row r="71" spans="1:46" x14ac:dyDescent="0.25">
      <c r="A71" s="30"/>
      <c r="B71" s="30"/>
      <c r="C71" s="30"/>
      <c r="D71" s="30"/>
      <c r="E71" s="30"/>
      <c r="F71" s="30"/>
      <c r="G71" s="30"/>
      <c r="H71" s="30"/>
      <c r="I71" s="30"/>
      <c r="J71" s="30"/>
      <c r="K71" s="30"/>
      <c r="L71" s="30"/>
      <c r="M71" s="30"/>
      <c r="N71" s="30"/>
      <c r="O71" s="30"/>
      <c r="P71" s="30"/>
      <c r="Q71" s="30"/>
      <c r="R71" s="30"/>
      <c r="S71" s="30"/>
      <c r="T71" s="30"/>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row>
    <row r="72" spans="1:46" x14ac:dyDescent="0.25">
      <c r="A72" s="30"/>
      <c r="B72" s="30"/>
      <c r="C72" s="30"/>
      <c r="D72" s="30"/>
      <c r="E72" s="30"/>
      <c r="F72" s="30"/>
      <c r="G72" s="30"/>
      <c r="H72" s="30"/>
      <c r="I72" s="30"/>
      <c r="J72" s="30"/>
      <c r="K72" s="30"/>
      <c r="L72" s="30"/>
      <c r="M72" s="30"/>
      <c r="N72" s="30"/>
      <c r="O72" s="30"/>
      <c r="P72" s="30"/>
      <c r="Q72" s="30"/>
      <c r="R72" s="30"/>
      <c r="S72" s="30"/>
      <c r="T72" s="30"/>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row>
    <row r="73" spans="1:46" x14ac:dyDescent="0.25">
      <c r="A73" s="30"/>
      <c r="B73" s="30"/>
      <c r="C73" s="30"/>
      <c r="D73" s="30"/>
      <c r="E73" s="30"/>
      <c r="F73" s="30"/>
      <c r="G73" s="30"/>
      <c r="H73" s="30"/>
      <c r="I73" s="30"/>
      <c r="J73" s="30"/>
      <c r="K73" s="30"/>
      <c r="L73" s="30"/>
      <c r="M73" s="30"/>
      <c r="N73" s="30"/>
      <c r="O73" s="30"/>
      <c r="P73" s="30"/>
      <c r="Q73" s="30"/>
      <c r="R73" s="30"/>
      <c r="S73" s="30"/>
      <c r="T73" s="30"/>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1"/>
      <c r="AT73" s="31"/>
    </row>
    <row r="74" spans="1:46" x14ac:dyDescent="0.25">
      <c r="A74" s="30"/>
      <c r="B74" s="30"/>
      <c r="C74" s="30"/>
      <c r="D74" s="30"/>
      <c r="E74" s="30"/>
      <c r="F74" s="30"/>
      <c r="G74" s="30"/>
      <c r="H74" s="30"/>
      <c r="I74" s="30"/>
      <c r="J74" s="30"/>
      <c r="K74" s="30"/>
      <c r="L74" s="30"/>
      <c r="M74" s="30"/>
      <c r="N74" s="30"/>
      <c r="O74" s="30"/>
      <c r="P74" s="30"/>
      <c r="Q74" s="30"/>
      <c r="R74" s="30"/>
      <c r="S74" s="30"/>
      <c r="T74" s="30"/>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row>
    <row r="75" spans="1:46" x14ac:dyDescent="0.25">
      <c r="A75" s="30"/>
      <c r="B75" s="30"/>
      <c r="C75" s="30"/>
      <c r="D75" s="30"/>
      <c r="E75" s="30"/>
      <c r="F75" s="30"/>
      <c r="G75" s="30"/>
      <c r="H75" s="30"/>
      <c r="I75" s="30"/>
      <c r="J75" s="30"/>
      <c r="K75" s="30"/>
      <c r="L75" s="30"/>
      <c r="M75" s="30"/>
      <c r="N75" s="30"/>
      <c r="O75" s="30"/>
      <c r="P75" s="30"/>
      <c r="Q75" s="30"/>
      <c r="R75" s="30"/>
      <c r="S75" s="30"/>
      <c r="T75" s="30"/>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row>
  </sheetData>
  <mergeCells count="3">
    <mergeCell ref="A1:T4"/>
    <mergeCell ref="A5:T75"/>
    <mergeCell ref="U5:AT75"/>
  </mergeCells>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1F2E2-4E2B-49B5-8695-89DF275923E8}">
  <dimension ref="B3:C8"/>
  <sheetViews>
    <sheetView topLeftCell="B1" zoomScale="85" workbookViewId="0">
      <selection activeCell="C6" sqref="C6"/>
    </sheetView>
  </sheetViews>
  <sheetFormatPr defaultRowHeight="15" x14ac:dyDescent="0.25"/>
  <cols>
    <col min="2" max="2" width="109.7109375" bestFit="1" customWidth="1"/>
    <col min="3" max="3" width="96.7109375" bestFit="1" customWidth="1"/>
  </cols>
  <sheetData>
    <row r="3" spans="2:3" x14ac:dyDescent="0.25">
      <c r="B3" s="27" t="s">
        <v>370</v>
      </c>
      <c r="C3" s="27" t="s">
        <v>371</v>
      </c>
    </row>
    <row r="4" spans="2:3" x14ac:dyDescent="0.25">
      <c r="B4" s="26" t="s">
        <v>372</v>
      </c>
      <c r="C4" s="26" t="s">
        <v>373</v>
      </c>
    </row>
    <row r="5" spans="2:3" x14ac:dyDescent="0.25">
      <c r="B5" s="26" t="s">
        <v>374</v>
      </c>
      <c r="C5" s="26" t="s">
        <v>375</v>
      </c>
    </row>
    <row r="6" spans="2:3" x14ac:dyDescent="0.25">
      <c r="B6" s="26" t="s">
        <v>380</v>
      </c>
      <c r="C6" s="26" t="s">
        <v>381</v>
      </c>
    </row>
    <row r="7" spans="2:3" x14ac:dyDescent="0.25">
      <c r="B7" s="26" t="s">
        <v>378</v>
      </c>
      <c r="C7" s="26" t="s">
        <v>376</v>
      </c>
    </row>
    <row r="8" spans="2:3" x14ac:dyDescent="0.25">
      <c r="B8" s="26" t="s">
        <v>379</v>
      </c>
      <c r="C8" s="26" t="s">
        <v>377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BF5A9B9-1341-4C90-BA65-A8BF19A4BB2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Cleaned Data</vt:lpstr>
      <vt:lpstr>Changelog</vt:lpstr>
      <vt:lpstr>Analysis</vt:lpstr>
      <vt:lpstr>Insights</vt:lpstr>
      <vt:lpstr>Charts</vt:lpstr>
      <vt:lpstr>Dashboard</vt:lpstr>
      <vt:lpstr>Findings and Recommendation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user</cp:lastModifiedBy>
  <dcterms:created xsi:type="dcterms:W3CDTF">2026-09-12T09:43:10Z</dcterms:created>
  <dcterms:modified xsi:type="dcterms:W3CDTF">2026-09-16T07:26:15Z</dcterms:modified>
</cp:coreProperties>
</file>